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trades'!$A$1:$H$55</definedName>
    <definedName name="_xlnm._FilterDatabase" localSheetId="3" hidden="1">'Positions'!$A$1:$Q$90</definedName>
    <definedName name="_xlnm._FilterDatabase" localSheetId="4" hidden="1">'Orders'!$A$1:$O$142</definedName>
    <definedName name="_xlnm._FilterDatabase" localSheetId="5" hidden="1">'Account'!$A$1:$F$18</definedName>
    <definedName name="_xlnm._FilterDatabase" localSheetId="6" hidden="1">'Cash activity'!$A$1:$F$25</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2026-10-26 15:16 ET)</t>
        </is>
      </c>
      <c r="B2" s="3" t="n">
        <v>98033.3743</v>
      </c>
    </row>
    <row r="3">
      <c r="A3" s="2" t="inlineStr">
        <is>
          <t>Net deposits</t>
        </is>
      </c>
      <c r="B3" s="3" t="n">
        <v>100000</v>
      </c>
    </row>
    <row r="4">
      <c r="A4" s="2" t="inlineStr">
        <is>
          <t>Account P&amp;L</t>
        </is>
      </c>
      <c r="B4" s="3">
        <f>B2-B3</f>
        <v/>
      </c>
    </row>
    <row r="5">
      <c r="A5" s="2" t="inlineStr">
        <is>
          <t>Realized P&amp;L (closed shares, FIFO)</t>
        </is>
      </c>
      <c r="B5" s="3" t="n">
        <v>-935.8299999999981</v>
      </c>
    </row>
    <row r="6">
      <c r="A6" s="2" t="inlineStr">
        <is>
          <t>Unrealized P&amp;L (open shares at Alpaca marks)</t>
        </is>
      </c>
      <c r="B6" s="3" t="n">
        <v>-1026.5557</v>
      </c>
    </row>
    <row r="7">
      <c r="A7" s="2" t="inlineStr">
        <is>
          <t>Dividends, fees &amp; interest</t>
        </is>
      </c>
      <c r="B7" s="3" t="n">
        <v>-4.239999999999999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343.3301</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330.75</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187.23</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28.1</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245.365</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51.22</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117.69</v>
      </c>
      <c r="H8" s="6">
        <f>D8*G8</f>
        <v/>
      </c>
      <c r="I8" s="3">
        <f>D8*(G8-F8)</f>
        <v/>
      </c>
      <c r="J8" s="7">
        <f>IF(D8&gt;0,1,-1)*(G8/F8-1)</f>
        <v/>
      </c>
    </row>
    <row r="9">
      <c r="A9" s="2" t="inlineStr">
        <is>
          <t>LRCX</t>
        </is>
      </c>
      <c r="B9" s="2" t="inlineStr">
        <is>
          <t>LRCX</t>
        </is>
      </c>
      <c r="C9" s="2" t="inlineStr">
        <is>
          <t>Short</t>
        </is>
      </c>
      <c r="D9" s="4" t="n">
        <v>-13</v>
      </c>
      <c r="E9" s="2" t="inlineStr">
        <is>
          <t>2026-10-22</t>
        </is>
      </c>
      <c r="F9" s="5" t="n">
        <v>230.03</v>
      </c>
      <c r="G9" s="5" t="n">
        <v>239.735</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172.35</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236.6</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532.1</v>
      </c>
      <c r="H12" s="6">
        <f>D12*G12</f>
        <v/>
      </c>
      <c r="I12" s="3">
        <f>D12*(G12-F12)</f>
        <v/>
      </c>
      <c r="J12" s="7">
        <f>IF(D12&gt;0,1,-1)*(G12/F12-1)</f>
        <v/>
      </c>
    </row>
    <row r="13">
      <c r="A13" s="2" t="inlineStr">
        <is>
          <t>NFLX</t>
        </is>
      </c>
      <c r="B13" s="2" t="inlineStr">
        <is>
          <t>NFLX</t>
        </is>
      </c>
      <c r="C13" s="2" t="inlineStr">
        <is>
          <t>Short</t>
        </is>
      </c>
      <c r="D13" s="4" t="n">
        <v>-42</v>
      </c>
      <c r="E13" s="2" t="inlineStr">
        <is>
          <t>2026-10-22</t>
        </is>
      </c>
      <c r="F13" s="5" t="n">
        <v>67.04000000000001</v>
      </c>
      <c r="G13" s="5" t="n">
        <v>63.385</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37.745</v>
      </c>
      <c r="H14" s="6">
        <f>D14*G14</f>
        <v/>
      </c>
      <c r="I14" s="3">
        <f>D14*(G14-F14)</f>
        <v/>
      </c>
      <c r="J14" s="7">
        <f>IF(D14&gt;0,1,-1)*(G14/F14-1)</f>
        <v/>
      </c>
    </row>
    <row r="15">
      <c r="A15" s="2" t="inlineStr">
        <is>
          <t>ROL</t>
        </is>
      </c>
      <c r="B15" s="2" t="inlineStr">
        <is>
          <t>ROL</t>
        </is>
      </c>
      <c r="C15" s="2" t="inlineStr">
        <is>
          <t>Short</t>
        </is>
      </c>
      <c r="D15" s="4" t="n">
        <v>-198</v>
      </c>
      <c r="E15" s="2" t="inlineStr">
        <is>
          <t>2026-10-22</t>
        </is>
      </c>
      <c r="F15" s="5" t="n">
        <v>35.28</v>
      </c>
      <c r="G15" s="5" t="n">
        <v>34.525</v>
      </c>
      <c r="H15" s="6">
        <f>D15*G15</f>
        <v/>
      </c>
      <c r="I15" s="3">
        <f>D15*(G15-F15)</f>
        <v/>
      </c>
      <c r="J15" s="7">
        <f>IF(D15&gt;0,1,-1)*(G15/F15-1)</f>
        <v/>
      </c>
    </row>
    <row r="16">
      <c r="A16" s="2" t="inlineStr">
        <is>
          <t>SMCI</t>
        </is>
      </c>
      <c r="B16" s="2" t="inlineStr">
        <is>
          <t>SMCI</t>
        </is>
      </c>
      <c r="C16" s="2" t="inlineStr">
        <is>
          <t>Long</t>
        </is>
      </c>
      <c r="D16" s="4" t="n">
        <v>267</v>
      </c>
      <c r="E16" s="2" t="inlineStr">
        <is>
          <t>2026-10-22</t>
        </is>
      </c>
      <c r="F16" s="5" t="n">
        <v>33.45947565543072</v>
      </c>
      <c r="G16" s="5" t="n">
        <v>33.03</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765.4400000000001</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395.04</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119.675</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184.49</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sheetData>
  <autoFilter ref="A1:H5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765.4</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858.97</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912.6900000000001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912.6900000000001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63.365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547.51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101.645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135.29</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765.4</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765.4</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765.4</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765.4</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532.34</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532.34</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330.66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330.66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330.66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187.25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253.28</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317.255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59.1</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831.0599999999999</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1278.135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236.46</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216.595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216.595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547.51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101.645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249.72</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634.22</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37.745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135.41</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135.41</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1266.91</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1266.91</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657.67</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362.54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330.66</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187.25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547.51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253.29</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317.27</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831.0599999999999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1278.135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101.645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249.72</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634.22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135.41</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1266.91</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765.4</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657.67</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362.54</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33.02</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317.94</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532.025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63.38</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216.6</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74.83</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126.645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395.015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532.71</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50.645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245.38</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79.075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59.1</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334.7</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24.685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169.88</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532.71</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634.22</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330.66</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187.25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236.665</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37.745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765.4</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245.38</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532.025</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63.38</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267</v>
      </c>
      <c r="J80" s="5" t="n">
        <v>33.45947565543072</v>
      </c>
      <c r="K80" s="5" t="n"/>
      <c r="L80" s="5" t="n">
        <v>33.02</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395.015</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343.35</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28.1</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51.215</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117.69</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239.45</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172.37</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-198</v>
      </c>
      <c r="J88" s="5" t="n">
        <v>35.28</v>
      </c>
      <c r="K88" s="5" t="n"/>
      <c r="L88" s="5" t="n">
        <v>34.53</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119.68</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184.505</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sheetData>
  <autoFilter ref="A1:O14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118767.9000042207</v>
      </c>
      <c r="D17" s="7">
        <f>IF(C16&gt;0,(B17-B16)/C16,"")</f>
        <v/>
      </c>
      <c r="E17" s="3">
        <f>B17-$B$2</f>
        <v/>
      </c>
      <c r="F17" s="7">
        <f>IF(C17&gt;0,E17/C17,"")</f>
        <v/>
      </c>
    </row>
    <row r="18">
      <c r="A18" s="2" t="inlineStr">
        <is>
          <t>2026-10-23</t>
        </is>
      </c>
      <c r="B18" s="12" t="n">
        <v>97134.66</v>
      </c>
      <c r="C18" s="12" t="n">
        <v>111692.3600022207</v>
      </c>
      <c r="D18" s="7">
        <f>IF(C17&gt;0,(B18-B17)/C17,"")</f>
        <v/>
      </c>
      <c r="E18" s="3">
        <f>B18-$B$2</f>
        <v/>
      </c>
      <c r="F18" s="7">
        <f>IF(C18&gt;0,E18/C18,"")</f>
        <v/>
      </c>
    </row>
  </sheetData>
  <autoFilter ref="A1:F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sheetData>
  <autoFilter ref="A1:F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2026-10-26T19:16:00Z</dcterms:created>
  <dcterms:modified xmlns:dcterms="http://purl.org/dc/terms/" xmlns:xsi="http://www.w3.org/2001/XMLSchema-instance" xsi:type="dcterms:W3CDTF">2026-10-26T19:16:06Z</dcterms:modified>
</cp:coreProperties>
</file>