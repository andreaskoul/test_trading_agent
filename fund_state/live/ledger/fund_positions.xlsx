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'Orders'!$A$1:$O$90</definedName>
    <definedName name="_xlnm._FilterDatabase" localSheetId="5" hidden="1">'Account'!$A$1:$F$13</definedName>
    <definedName name="_xlnm._FilterDatabase" localSheetId="6" hidden="1">'Cash activity'!$A$1:$F$16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2026-10-19 13:09 ET)</t>
        </is>
      </c>
      <c r="B2" s="3" t="n">
        <v>98454.81759999999</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-1527.6424</v>
      </c>
    </row>
    <row r="7">
      <c r="A7" s="2" t="inlineStr">
        <is>
          <t>Dividends, fees &amp; interest</t>
        </is>
      </c>
      <c r="B7" s="3" t="n">
        <v>-2.28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542.8346</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50.41</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240.42</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75.03</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56.2</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336.28</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23.3</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241</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532.95</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36.99</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217.89</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71.83</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129.66</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32.32</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165.7</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368.02</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316.16</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767.239990234375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915.8099975585938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907.64501953125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907.64501953125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69.50450134277344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531.0750122070312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96.69000244140625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130.4299926757812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767.239990234375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767.239990234375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767.239990234375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767.239990234375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543.22998046875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543.22998046875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336.7349853515625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336.7349853515625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336.7349853515625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190.7649993896484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264.8900146484375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344.3599853515625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56.2400016784668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852.5700073242188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1248.859985351562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241.2100067138672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218.0099945068359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218.0099945068359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531.0750122070312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96.69000244140625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242.7700042724609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700.3699951171875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36.99990081787109</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132.6300048828125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132.6300048828125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1377.765014648438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1377.765014648438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658.9550170898438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336.7000122070312</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190.7649993896484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531.0750122070312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264.8900146484375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344.3299865722656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852.5700073242188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1248.859985351562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96.69000244140625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242.7700042724609</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700.3699951171875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132.6300048828125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1377.765014648438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767.219970703125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658.6699829101562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348</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543.22998046875</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56.2400016784668</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241.2100067138672</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36.99990081787109</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217.9900054931641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50.42499923706055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240.4700012207031</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75.05999755859375</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336.3349914550781</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23.29010009765625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532.9959716796875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69.50450134277344</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71.92500305175781</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129.6900024414062</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32.33499908447266</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165.7599945068359</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368.2250061035156</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316.1600036621094</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sheetData>
  <autoFilter ref="A1:O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54738.38526770313</v>
      </c>
      <c r="D12" s="7">
        <f>IF(C11&gt;0,(B12-B11)/C11,"")</f>
        <v/>
      </c>
      <c r="E12" s="3">
        <f>B12-$B$2</f>
        <v/>
      </c>
      <c r="F12" s="7">
        <f>IF(C12&gt;0,E12/C12,"")</f>
        <v/>
      </c>
    </row>
    <row r="13">
      <c r="A13" s="2" t="inlineStr">
        <is>
          <t>2026-10-16</t>
        </is>
      </c>
      <c r="B13" s="12" t="n">
        <v>98144.96000000001</v>
      </c>
      <c r="C13" s="12" t="n">
        <v>54738.38526770313</v>
      </c>
      <c r="D13" s="7">
        <f>IF(C12&gt;0,(B13-B12)/C12,"")</f>
        <v/>
      </c>
      <c r="E13" s="3">
        <f>B13-$B$2</f>
        <v/>
      </c>
      <c r="F13" s="7">
        <f>IF(C13&gt;0,E13/C13,"")</f>
        <v/>
      </c>
    </row>
  </sheetData>
  <autoFilter ref="A1:F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sheetData>
  <autoFilter ref="A1:F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2026-10-19T17:09:36Z</dcterms:created>
  <dcterms:modified xmlns:dcterms="http://purl.org/dc/terms/" xmlns:xsi="http://www.w3.org/2001/XMLSchema-instance" xsi:type="dcterms:W3CDTF">2026-10-19T17:09:41Z</dcterms:modified>
</cp:coreProperties>
</file>