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positions'!$A$1:$J$22</definedName>
    <definedName name="_xlnm._FilterDatabase" localSheetId="2" hidden="1">'Realized trades'!$A$1:$H$51</definedName>
    <definedName name="_xlnm._FilterDatabase" localSheetId="3" hidden="1">'Positions'!$A$1:$Q$90</definedName>
    <definedName name="_xlnm._FilterDatabase" localSheetId="4" hidden="1">'Orders'!$A$1:$O$133</definedName>
    <definedName name="_xlnm._FilterDatabase" localSheetId="5" hidden="1">'Account'!$A$1:$F$16</definedName>
    <definedName name="_xlnm._FilterDatabase" localSheetId="6" hidden="1">'Cash activity'!$A$1:$F$21</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2026-10-22 16:00 ET)</t>
        </is>
      </c>
      <c r="B2" s="3" t="n">
        <v>97178.03</v>
      </c>
    </row>
    <row r="3">
      <c r="A3" s="2" t="inlineStr">
        <is>
          <t>Net deposits</t>
        </is>
      </c>
      <c r="B3" s="3" t="n">
        <v>100000</v>
      </c>
    </row>
    <row r="4">
      <c r="A4" s="2" t="inlineStr">
        <is>
          <t>Account P&amp;L</t>
        </is>
      </c>
      <c r="B4" s="3">
        <f>B2-B3</f>
        <v/>
      </c>
    </row>
    <row r="5">
      <c r="A5" s="2" t="inlineStr">
        <is>
          <t>Realized P&amp;L (closed shares, FIFO)</t>
        </is>
      </c>
      <c r="B5" s="3" t="n">
        <v>-852.9799999999985</v>
      </c>
    </row>
    <row r="6">
      <c r="A6" s="2" t="inlineStr">
        <is>
          <t>Unrealized P&amp;L (open shares at Alpaca marks)</t>
        </is>
      </c>
      <c r="B6" s="3" t="n">
        <v>-1966.1</v>
      </c>
    </row>
    <row r="7">
      <c r="A7" s="2" t="inlineStr">
        <is>
          <t>Dividends, fees &amp; interest</t>
        </is>
      </c>
      <c r="B7" s="3" t="n">
        <v>-2.889999999999999</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348.22</v>
      </c>
      <c r="H2" s="6">
        <f>D2*G2</f>
        <v/>
      </c>
      <c r="I2" s="3">
        <f>D2*(G2-F2)</f>
        <v/>
      </c>
      <c r="J2" s="7">
        <f>IF(D2&gt;0,1,-1)*(G2/F2-1)</f>
        <v/>
      </c>
    </row>
    <row r="3">
      <c r="A3" s="2" t="inlineStr">
        <is>
          <t>AMD</t>
        </is>
      </c>
      <c r="B3" s="2" t="inlineStr">
        <is>
          <t>AMD</t>
        </is>
      </c>
      <c r="C3" s="2" t="inlineStr">
        <is>
          <t>Short</t>
        </is>
      </c>
      <c r="D3" s="4" t="n">
        <v>-5</v>
      </c>
      <c r="E3" s="2" t="inlineStr">
        <is>
          <t>2026-10-22</t>
        </is>
      </c>
      <c r="F3" s="5" t="n">
        <v>507.3560000000001</v>
      </c>
      <c r="G3" s="5" t="n">
        <v>507.93</v>
      </c>
      <c r="H3" s="6">
        <f>D3*G3</f>
        <v/>
      </c>
      <c r="I3" s="3">
        <f>D3*(G3-F3)</f>
        <v/>
      </c>
      <c r="J3" s="7">
        <f>IF(D3&gt;0,1,-1)*(G3/F3-1)</f>
        <v/>
      </c>
    </row>
    <row r="4">
      <c r="A4" s="2" t="inlineStr">
        <is>
          <t>AVGO</t>
        </is>
      </c>
      <c r="B4" s="2" t="inlineStr">
        <is>
          <t>AVGO</t>
        </is>
      </c>
      <c r="C4" s="2" t="inlineStr">
        <is>
          <t>Short</t>
        </is>
      </c>
      <c r="D4" s="4" t="n">
        <v>-7</v>
      </c>
      <c r="E4" s="2" t="inlineStr">
        <is>
          <t>2026-10-22</t>
        </is>
      </c>
      <c r="F4" s="5" t="n">
        <v>323.3714285714286</v>
      </c>
      <c r="G4" s="5" t="n">
        <v>323.19</v>
      </c>
      <c r="H4" s="6">
        <f>D4*G4</f>
        <v/>
      </c>
      <c r="I4" s="3">
        <f>D4*(G4-F4)</f>
        <v/>
      </c>
      <c r="J4" s="7">
        <f>IF(D4&gt;0,1,-1)*(G4/F4-1)</f>
        <v/>
      </c>
    </row>
    <row r="5">
      <c r="A5" s="2" t="inlineStr">
        <is>
          <t>BA</t>
        </is>
      </c>
      <c r="B5" s="2" t="inlineStr">
        <is>
          <t>BA</t>
        </is>
      </c>
      <c r="C5" s="2" t="inlineStr">
        <is>
          <t>Long</t>
        </is>
      </c>
      <c r="D5" s="4" t="n">
        <v>13</v>
      </c>
      <c r="E5" s="2" t="inlineStr">
        <is>
          <t>2026-10-22</t>
        </is>
      </c>
      <c r="F5" s="5" t="n">
        <v>187.4653846153846</v>
      </c>
      <c r="G5" s="5" t="n">
        <v>187.55</v>
      </c>
      <c r="H5" s="6">
        <f>D5*G5</f>
        <v/>
      </c>
      <c r="I5" s="3">
        <f>D5*(G5-F5)</f>
        <v/>
      </c>
      <c r="J5" s="7">
        <f>IF(D5&gt;0,1,-1)*(G5/F5-1)</f>
        <v/>
      </c>
    </row>
    <row r="6">
      <c r="A6" s="2" t="inlineStr">
        <is>
          <t>CMG</t>
        </is>
      </c>
      <c r="B6" s="2" t="inlineStr">
        <is>
          <t>CMG</t>
        </is>
      </c>
      <c r="C6" s="2" t="inlineStr">
        <is>
          <t>Short</t>
        </is>
      </c>
      <c r="D6" s="4" t="n">
        <v>-87</v>
      </c>
      <c r="E6" s="2" t="inlineStr">
        <is>
          <t>2026-10-22</t>
        </is>
      </c>
      <c r="F6" s="5" t="n">
        <v>28.07</v>
      </c>
      <c r="G6" s="5" t="n">
        <v>28.13</v>
      </c>
      <c r="H6" s="6">
        <f>D6*G6</f>
        <v/>
      </c>
      <c r="I6" s="3">
        <f>D6*(G6-F6)</f>
        <v/>
      </c>
      <c r="J6" s="7">
        <f>IF(D6&gt;0,1,-1)*(G6/F6-1)</f>
        <v/>
      </c>
    </row>
    <row r="7">
      <c r="A7" s="2" t="inlineStr">
        <is>
          <t>CRM</t>
        </is>
      </c>
      <c r="B7" s="2" t="inlineStr">
        <is>
          <t>CRM</t>
        </is>
      </c>
      <c r="C7" s="2" t="inlineStr">
        <is>
          <t>Short</t>
        </is>
      </c>
      <c r="D7" s="4" t="n">
        <v>-12</v>
      </c>
      <c r="E7" s="2" t="inlineStr">
        <is>
          <t>2026-10-22</t>
        </is>
      </c>
      <c r="F7" s="5" t="n">
        <v>250.35</v>
      </c>
      <c r="G7" s="5" t="n">
        <v>250.29</v>
      </c>
      <c r="H7" s="6">
        <f>D7*G7</f>
        <v/>
      </c>
      <c r="I7" s="3">
        <f>D7*(G7-F7)</f>
        <v/>
      </c>
      <c r="J7" s="7">
        <f>IF(D7&gt;0,1,-1)*(G7/F7-1)</f>
        <v/>
      </c>
    </row>
    <row r="8">
      <c r="A8" s="2" t="inlineStr">
        <is>
          <t>CSX</t>
        </is>
      </c>
      <c r="B8" s="2" t="inlineStr">
        <is>
          <t>CSX</t>
        </is>
      </c>
      <c r="C8" s="2" t="inlineStr">
        <is>
          <t>Long</t>
        </is>
      </c>
      <c r="D8" s="4" t="n">
        <v>114</v>
      </c>
      <c r="E8" s="2" t="inlineStr">
        <is>
          <t>2026-10-22</t>
        </is>
      </c>
      <c r="F8" s="5" t="n">
        <v>51.72</v>
      </c>
      <c r="G8" s="5" t="n">
        <v>51.67</v>
      </c>
      <c r="H8" s="6">
        <f>D8*G8</f>
        <v/>
      </c>
      <c r="I8" s="3">
        <f>D8*(G8-F8)</f>
        <v/>
      </c>
      <c r="J8" s="7">
        <f>IF(D8&gt;0,1,-1)*(G8/F8-1)</f>
        <v/>
      </c>
    </row>
    <row r="9">
      <c r="A9" s="2" t="inlineStr">
        <is>
          <t>HAS</t>
        </is>
      </c>
      <c r="B9" s="2" t="inlineStr">
        <is>
          <t>HAS</t>
        </is>
      </c>
      <c r="C9" s="2" t="inlineStr">
        <is>
          <t>Long</t>
        </is>
      </c>
      <c r="D9" s="4" t="n">
        <v>21</v>
      </c>
      <c r="E9" s="2" t="inlineStr">
        <is>
          <t>2026-10-22</t>
        </is>
      </c>
      <c r="F9" s="5" t="n">
        <v>117.22</v>
      </c>
      <c r="G9" s="5" t="n">
        <v>117.23</v>
      </c>
      <c r="H9" s="6">
        <f>D9*G9</f>
        <v/>
      </c>
      <c r="I9" s="3">
        <f>D9*(G9-F9)</f>
        <v/>
      </c>
      <c r="J9" s="7">
        <f>IF(D9&gt;0,1,-1)*(G9/F9-1)</f>
        <v/>
      </c>
    </row>
    <row r="10">
      <c r="A10" s="2" t="inlineStr">
        <is>
          <t>LRCX</t>
        </is>
      </c>
      <c r="B10" s="2" t="inlineStr">
        <is>
          <t>LRCX</t>
        </is>
      </c>
      <c r="C10" s="2" t="inlineStr">
        <is>
          <t>Short</t>
        </is>
      </c>
      <c r="D10" s="4" t="n">
        <v>-13</v>
      </c>
      <c r="E10" s="2" t="inlineStr">
        <is>
          <t>2026-10-22</t>
        </is>
      </c>
      <c r="F10" s="5" t="n">
        <v>230.03</v>
      </c>
      <c r="G10" s="5" t="n">
        <v>230.15</v>
      </c>
      <c r="H10" s="6">
        <f>D10*G10</f>
        <v/>
      </c>
      <c r="I10" s="3">
        <f>D10*(G10-F10)</f>
        <v/>
      </c>
      <c r="J10" s="7">
        <f>IF(D10&gt;0,1,-1)*(G10/F10-1)</f>
        <v/>
      </c>
    </row>
    <row r="11">
      <c r="A11" s="2" t="inlineStr">
        <is>
          <t>META</t>
        </is>
      </c>
      <c r="B11" s="2" t="inlineStr">
        <is>
          <t>META</t>
        </is>
      </c>
      <c r="C11" s="2" t="inlineStr">
        <is>
          <t>Long</t>
        </is>
      </c>
      <c r="D11" s="4" t="n">
        <v>7</v>
      </c>
      <c r="E11" s="2" t="inlineStr">
        <is>
          <t>2026-10-22</t>
        </is>
      </c>
      <c r="F11" s="5" t="n">
        <v>648.3942857142857</v>
      </c>
      <c r="G11" s="5" t="n">
        <v>648.85</v>
      </c>
      <c r="H11" s="6">
        <f>D11*G11</f>
        <v/>
      </c>
      <c r="I11" s="3">
        <f>D11*(G11-F11)</f>
        <v/>
      </c>
      <c r="J11" s="7">
        <f>IF(D11&gt;0,1,-1)*(G11/F11-1)</f>
        <v/>
      </c>
    </row>
    <row r="12">
      <c r="A12" s="2" t="inlineStr">
        <is>
          <t>MMM</t>
        </is>
      </c>
      <c r="B12" s="2" t="inlineStr">
        <is>
          <t>MMM</t>
        </is>
      </c>
      <c r="C12" s="2" t="inlineStr">
        <is>
          <t>Long</t>
        </is>
      </c>
      <c r="D12" s="4" t="n">
        <v>15</v>
      </c>
      <c r="E12" s="2" t="inlineStr">
        <is>
          <t>2026-10-22</t>
        </is>
      </c>
      <c r="F12" s="5" t="n">
        <v>175.868</v>
      </c>
      <c r="G12" s="5" t="n">
        <v>175.54</v>
      </c>
      <c r="H12" s="6">
        <f>D12*G12</f>
        <v/>
      </c>
      <c r="I12" s="3">
        <f>D12*(G12-F12)</f>
        <v/>
      </c>
      <c r="J12" s="7">
        <f>IF(D12&gt;0,1,-1)*(G12/F12-1)</f>
        <v/>
      </c>
    </row>
    <row r="13">
      <c r="A13" s="2" t="inlineStr">
        <is>
          <t>MRVL</t>
        </is>
      </c>
      <c r="B13" s="2" t="inlineStr">
        <is>
          <t>MRVL</t>
        </is>
      </c>
      <c r="C13" s="2" t="inlineStr">
        <is>
          <t>Long</t>
        </is>
      </c>
      <c r="D13" s="4" t="n">
        <v>35</v>
      </c>
      <c r="E13" s="2" t="inlineStr">
        <is>
          <t>2026-10-08</t>
        </is>
      </c>
      <c r="F13" s="5" t="n">
        <v>262.5911428571428</v>
      </c>
      <c r="G13" s="5" t="n">
        <v>223.47</v>
      </c>
      <c r="H13" s="6">
        <f>D13*G13</f>
        <v/>
      </c>
      <c r="I13" s="3">
        <f>D13*(G13-F13)</f>
        <v/>
      </c>
      <c r="J13" s="7">
        <f>IF(D13&gt;0,1,-1)*(G13/F13-1)</f>
        <v/>
      </c>
    </row>
    <row r="14">
      <c r="A14" s="2" t="inlineStr">
        <is>
          <t>MSFT</t>
        </is>
      </c>
      <c r="B14" s="2" t="inlineStr">
        <is>
          <t>MSFT</t>
        </is>
      </c>
      <c r="C14" s="2" t="inlineStr">
        <is>
          <t>Short</t>
        </is>
      </c>
      <c r="D14" s="4" t="n">
        <v>-5</v>
      </c>
      <c r="E14" s="2" t="inlineStr">
        <is>
          <t>2026-10-22</t>
        </is>
      </c>
      <c r="F14" s="5" t="n">
        <v>520.91</v>
      </c>
      <c r="G14" s="5" t="n">
        <v>521.08</v>
      </c>
      <c r="H14" s="6">
        <f>D14*G14</f>
        <v/>
      </c>
      <c r="I14" s="3">
        <f>D14*(G14-F14)</f>
        <v/>
      </c>
      <c r="J14" s="7">
        <f>IF(D14&gt;0,1,-1)*(G14/F14-1)</f>
        <v/>
      </c>
    </row>
    <row r="15">
      <c r="A15" s="2" t="inlineStr">
        <is>
          <t>NFLX</t>
        </is>
      </c>
      <c r="B15" s="2" t="inlineStr">
        <is>
          <t>NFLX</t>
        </is>
      </c>
      <c r="C15" s="2" t="inlineStr">
        <is>
          <t>Short</t>
        </is>
      </c>
      <c r="D15" s="4" t="n">
        <v>-42</v>
      </c>
      <c r="E15" s="2" t="inlineStr">
        <is>
          <t>2026-10-22</t>
        </is>
      </c>
      <c r="F15" s="5" t="n">
        <v>67.04000000000001</v>
      </c>
      <c r="G15" s="5" t="n">
        <v>67.05</v>
      </c>
      <c r="H15" s="6">
        <f>D15*G15</f>
        <v/>
      </c>
      <c r="I15" s="3">
        <f>D15*(G15-F15)</f>
        <v/>
      </c>
      <c r="J15" s="7">
        <f>IF(D15&gt;0,1,-1)*(G15/F15-1)</f>
        <v/>
      </c>
    </row>
    <row r="16">
      <c r="A16" s="2" t="inlineStr">
        <is>
          <t>NKE</t>
        </is>
      </c>
      <c r="B16" s="2" t="inlineStr">
        <is>
          <t>NKE</t>
        </is>
      </c>
      <c r="C16" s="2" t="inlineStr">
        <is>
          <t>Short</t>
        </is>
      </c>
      <c r="D16" s="4" t="n">
        <v>-256</v>
      </c>
      <c r="E16" s="2" t="inlineStr">
        <is>
          <t>2026-10-08</t>
        </is>
      </c>
      <c r="F16" s="5" t="n">
        <v>35.49667968750001</v>
      </c>
      <c r="G16" s="5" t="n">
        <v>38.17</v>
      </c>
      <c r="H16" s="6">
        <f>D16*G16</f>
        <v/>
      </c>
      <c r="I16" s="3">
        <f>D16*(G16-F16)</f>
        <v/>
      </c>
      <c r="J16" s="7">
        <f>IF(D16&gt;0,1,-1)*(G16/F16-1)</f>
        <v/>
      </c>
    </row>
    <row r="17">
      <c r="A17" s="2" t="inlineStr">
        <is>
          <t>ROL</t>
        </is>
      </c>
      <c r="B17" s="2" t="inlineStr">
        <is>
          <t>ROL</t>
        </is>
      </c>
      <c r="C17" s="2" t="inlineStr">
        <is>
          <t>Short</t>
        </is>
      </c>
      <c r="D17" s="4" t="n">
        <v>-199</v>
      </c>
      <c r="E17" s="2" t="inlineStr">
        <is>
          <t>2026-10-22</t>
        </is>
      </c>
      <c r="F17" s="5" t="n">
        <v>35.27999999999999</v>
      </c>
      <c r="G17" s="5" t="n">
        <v>35.31</v>
      </c>
      <c r="H17" s="6">
        <f>D17*G17</f>
        <v/>
      </c>
      <c r="I17" s="3">
        <f>D17*(G17-F17)</f>
        <v/>
      </c>
      <c r="J17" s="7">
        <f>IF(D17&gt;0,1,-1)*(G17/F17-1)</f>
        <v/>
      </c>
    </row>
    <row r="18">
      <c r="A18" s="2" t="inlineStr">
        <is>
          <t>SMCI</t>
        </is>
      </c>
      <c r="B18" s="2" t="inlineStr">
        <is>
          <t>SMCI</t>
        </is>
      </c>
      <c r="C18" s="2" t="inlineStr">
        <is>
          <t>Long</t>
        </is>
      </c>
      <c r="D18" s="4" t="n">
        <v>173</v>
      </c>
      <c r="E18" s="2" t="inlineStr">
        <is>
          <t>2026-10-22</t>
        </is>
      </c>
      <c r="F18" s="5" t="n">
        <v>33.72</v>
      </c>
      <c r="G18" s="5" t="n">
        <v>33.72</v>
      </c>
      <c r="H18" s="6">
        <f>D18*G18</f>
        <v/>
      </c>
      <c r="I18" s="3">
        <f>D18*(G18-F18)</f>
        <v/>
      </c>
      <c r="J18" s="7">
        <f>IF(D18&gt;0,1,-1)*(G18/F18-1)</f>
        <v/>
      </c>
    </row>
    <row r="19">
      <c r="A19" s="2" t="inlineStr">
        <is>
          <t>SPY</t>
        </is>
      </c>
      <c r="B19" s="2" t="inlineStr">
        <is>
          <t>SPDR S&amp;P 500 ETF</t>
        </is>
      </c>
      <c r="C19" s="2" t="inlineStr">
        <is>
          <t>Short</t>
        </is>
      </c>
      <c r="D19" s="4" t="n">
        <v>-22</v>
      </c>
      <c r="E19" s="2" t="inlineStr">
        <is>
          <t>2026-10-21</t>
        </is>
      </c>
      <c r="F19" s="5" t="n">
        <v>768.7913636363636</v>
      </c>
      <c r="G19" s="5" t="n">
        <v>764.02</v>
      </c>
      <c r="H19" s="6">
        <f>D19*G19</f>
        <v/>
      </c>
      <c r="I19" s="3">
        <f>D19*(G19-F19)</f>
        <v/>
      </c>
      <c r="J19" s="7">
        <f>IF(D19&gt;0,1,-1)*(G19/F19-1)</f>
        <v/>
      </c>
    </row>
    <row r="20">
      <c r="A20" s="2" t="inlineStr">
        <is>
          <t>TSLA</t>
        </is>
      </c>
      <c r="B20" s="2" t="inlineStr">
        <is>
          <t>TSLA</t>
        </is>
      </c>
      <c r="C20" s="2" t="inlineStr">
        <is>
          <t>Long</t>
        </is>
      </c>
      <c r="D20" s="4" t="n">
        <v>13</v>
      </c>
      <c r="E20" s="2" t="inlineStr">
        <is>
          <t>2026-10-22</t>
        </is>
      </c>
      <c r="F20" s="5" t="n">
        <v>375.053076923077</v>
      </c>
      <c r="G20" s="5" t="n">
        <v>374.95</v>
      </c>
      <c r="H20" s="6">
        <f>D20*G20</f>
        <v/>
      </c>
      <c r="I20" s="3">
        <f>D20*(G20-F20)</f>
        <v/>
      </c>
      <c r="J20" s="7">
        <f>IF(D20&gt;0,1,-1)*(G20/F20-1)</f>
        <v/>
      </c>
    </row>
    <row r="21">
      <c r="A21" s="2" t="inlineStr">
        <is>
          <t>WMT</t>
        </is>
      </c>
      <c r="B21" s="2" t="inlineStr">
        <is>
          <t>WMT</t>
        </is>
      </c>
      <c r="C21" s="2" t="inlineStr">
        <is>
          <t>Long</t>
        </is>
      </c>
      <c r="D21" s="4" t="n">
        <v>24</v>
      </c>
      <c r="E21" s="2" t="inlineStr">
        <is>
          <t>2026-10-22</t>
        </is>
      </c>
      <c r="F21" s="5" t="n">
        <v>121.07</v>
      </c>
      <c r="G21" s="5" t="n">
        <v>121.12</v>
      </c>
      <c r="H21" s="6">
        <f>D21*G21</f>
        <v/>
      </c>
      <c r="I21" s="3">
        <f>D21*(G21-F21)</f>
        <v/>
      </c>
      <c r="J21" s="7">
        <f>IF(D21&gt;0,1,-1)*(G21/F21-1)</f>
        <v/>
      </c>
    </row>
    <row r="22">
      <c r="A22" s="2" t="inlineStr">
        <is>
          <t>XOM</t>
        </is>
      </c>
      <c r="B22" s="2" t="inlineStr">
        <is>
          <t>XOM</t>
        </is>
      </c>
      <c r="C22" s="2" t="inlineStr">
        <is>
          <t>Long</t>
        </is>
      </c>
      <c r="D22" s="4" t="n">
        <v>14</v>
      </c>
      <c r="E22" s="2" t="inlineStr">
        <is>
          <t>2026-10-22</t>
        </is>
      </c>
      <c r="F22" s="5" t="n">
        <v>177.92</v>
      </c>
      <c r="G22" s="5" t="n">
        <v>178.2</v>
      </c>
      <c r="H22" s="6">
        <f>D22*G22</f>
        <v/>
      </c>
      <c r="I22" s="3">
        <f>D22*(G22-F22)</f>
        <v/>
      </c>
      <c r="J22" s="7">
        <f>IF(D22&gt;0,1,-1)*(G22/F22-1)</f>
        <v/>
      </c>
    </row>
  </sheetData>
  <autoFilter ref="A1:J2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sheetData>
  <autoFilter ref="A1:H5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763.760009765625</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826.6799926757812</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856.719970703125</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856.719970703125</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67.05500030517578</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547.25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104.1100006103516</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138.9550018310547</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763.760009765625</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763.760009765625</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763.760009765625</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763.760009765625</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507.8099975585938</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507.8099975585938</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323.364990234375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323.364990234375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323.364990234375</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187.5099945068359</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255.2700042724609</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324.1700134277344</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55.44499969482422</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751.8175048828125</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1306.89501953125</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223.5800018310547</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212.2100067138672</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212.2100067138672</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547.25</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104.1100006103516</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252.5399932861328</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648.7999877929688</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38.29990005493164</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138.8200073242188</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138.8200073242188</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1259.719970703125</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1259.719970703125</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642.1199951171875</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353.9299926757812</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323.3800048828125</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187.5101013183594</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547.3800048828125</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255.2700042724609</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324.1900024414062</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751.5999755859375</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1306.920043945312</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104.0800018310547</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252.5399932861328</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648.6900024414062</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138.8099975585938</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1260.06005859375</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763.864990234375</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642.0700073242188</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353.9549865722656</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33.73500061035156</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323.0150146484375</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521.1900024414062</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67.07499694824219</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212.2100067138672</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73.23999786376953</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125.4400024414062</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374.7900085449219</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507.8699951171875</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51.06000137329102</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250.2250061035156</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79.22499847412109</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55.45999908447266</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336.5899963378906</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25.10499954223633</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167.7899932861328</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Open</t>
        </is>
      </c>
      <c r="G70" s="2" t="inlineStr">
        <is>
          <t>2026-10-22</t>
        </is>
      </c>
      <c r="H70" s="2" t="inlineStr"/>
      <c r="I70" s="4" t="n">
        <v>-5</v>
      </c>
      <c r="J70" s="5" t="n">
        <v>507.3559999999999</v>
      </c>
      <c r="K70" s="5" t="n"/>
      <c r="L70" s="5" t="n">
        <v>507.8699951171875</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AVGO</t>
        </is>
      </c>
      <c r="C71" s="2" t="inlineStr">
        <is>
          <t>AVGO</t>
        </is>
      </c>
      <c r="D71" s="2" t="inlineStr">
        <is>
          <t>position (lifecycle)</t>
        </is>
      </c>
      <c r="E71" s="2" t="inlineStr">
        <is>
          <t>Short</t>
        </is>
      </c>
      <c r="F71" s="2" t="inlineStr">
        <is>
          <t>Open</t>
        </is>
      </c>
      <c r="G71" s="2" t="inlineStr">
        <is>
          <t>2026-10-22</t>
        </is>
      </c>
      <c r="H71" s="2" t="inlineStr"/>
      <c r="I71" s="4" t="n">
        <v>-7</v>
      </c>
      <c r="J71" s="5" t="n">
        <v>323.371428</v>
      </c>
      <c r="K71" s="5" t="n"/>
      <c r="L71" s="5" t="n">
        <v>323.3800048828125</v>
      </c>
      <c r="M71" s="7">
        <f>IFERROR(IF(E71="Short",-1,1)*(IF(K71&lt;&gt;"",K71,L71)/J71-1),"")</f>
        <v/>
      </c>
      <c r="N71" s="6">
        <f>IFERROR(I71*(IF(K71&lt;&gt;"",K71,L71)-J71),"")</f>
        <v/>
      </c>
      <c r="O71" s="8" t="n">
        <v>0.45</v>
      </c>
      <c r="P71" s="2" t="n"/>
      <c r="Q71"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2">
      <c r="A72" s="2" t="inlineStr">
        <is>
          <t>2026-10-21</t>
        </is>
      </c>
      <c r="B72" s="2" t="inlineStr">
        <is>
          <t>BA</t>
        </is>
      </c>
      <c r="C72" s="2" t="inlineStr">
        <is>
          <t>BA</t>
        </is>
      </c>
      <c r="D72" s="2" t="inlineStr">
        <is>
          <t>position (lifecycle)</t>
        </is>
      </c>
      <c r="E72" s="2" t="inlineStr">
        <is>
          <t>Long</t>
        </is>
      </c>
      <c r="F72" s="2" t="inlineStr">
        <is>
          <t>Open</t>
        </is>
      </c>
      <c r="G72" s="2" t="inlineStr">
        <is>
          <t>2026-10-22</t>
        </is>
      </c>
      <c r="H72" s="2" t="inlineStr"/>
      <c r="I72" s="4" t="n">
        <v>13</v>
      </c>
      <c r="J72" s="5" t="n">
        <v>187.465385</v>
      </c>
      <c r="K72" s="5" t="n"/>
      <c r="L72" s="5" t="n">
        <v>187.5101013183594</v>
      </c>
      <c r="M72" s="7">
        <f>IFERROR(IF(E72="Short",-1,1)*(IF(K72&lt;&gt;"",K72,L72)/J72-1),"")</f>
        <v/>
      </c>
      <c r="N72" s="6">
        <f>IFERROR(I72*(IF(K72&lt;&gt;"",K72,L72)-J72),"")</f>
        <v/>
      </c>
      <c r="O72" s="8" t="n">
        <v>0.55</v>
      </c>
      <c r="P72" s="2" t="n"/>
      <c r="Q72"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3">
      <c r="A73" s="2" t="inlineStr">
        <is>
          <t>2026-10-21</t>
        </is>
      </c>
      <c r="B73" s="2" t="inlineStr">
        <is>
          <t>META</t>
        </is>
      </c>
      <c r="C73" s="2" t="inlineStr">
        <is>
          <t>META</t>
        </is>
      </c>
      <c r="D73" s="2" t="inlineStr">
        <is>
          <t>position (lifecycle)</t>
        </is>
      </c>
      <c r="E73" s="2" t="inlineStr">
        <is>
          <t>Long</t>
        </is>
      </c>
      <c r="F73" s="2" t="inlineStr">
        <is>
          <t>Open</t>
        </is>
      </c>
      <c r="G73" s="2" t="inlineStr">
        <is>
          <t>2026-10-22</t>
        </is>
      </c>
      <c r="H73" s="2" t="inlineStr"/>
      <c r="I73" s="4" t="n">
        <v>7</v>
      </c>
      <c r="J73" s="5" t="n">
        <v>648.394286</v>
      </c>
      <c r="K73" s="5" t="n"/>
      <c r="L73" s="5" t="n">
        <v>648.6900024414062</v>
      </c>
      <c r="M73" s="7">
        <f>IFERROR(IF(E73="Short",-1,1)*(IF(K73&lt;&gt;"",K73,L73)/J73-1),"")</f>
        <v/>
      </c>
      <c r="N73" s="6">
        <f>IFERROR(I73*(IF(K73&lt;&gt;"",K73,L73)-J73),"")</f>
        <v/>
      </c>
      <c r="O73" s="8" t="n">
        <v>0.5</v>
      </c>
      <c r="P73" s="2" t="n"/>
      <c r="Q73"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4">
      <c r="A74" s="2" t="inlineStr">
        <is>
          <t>2026-10-07</t>
        </is>
      </c>
      <c r="B74" s="2" t="inlineStr">
        <is>
          <t>MRVL</t>
        </is>
      </c>
      <c r="C74" s="2" t="inlineStr">
        <is>
          <t>MRVL</t>
        </is>
      </c>
      <c r="D74" s="2" t="inlineStr">
        <is>
          <t>position (lifecycle)</t>
        </is>
      </c>
      <c r="E74" s="2" t="inlineStr">
        <is>
          <t>Long</t>
        </is>
      </c>
      <c r="F74" s="2" t="inlineStr">
        <is>
          <t>Open</t>
        </is>
      </c>
      <c r="G74" s="2" t="inlineStr">
        <is>
          <t>2026-10-15</t>
        </is>
      </c>
      <c r="H74" s="2" t="inlineStr"/>
      <c r="I74" s="4" t="n">
        <v>35</v>
      </c>
      <c r="J74" s="5" t="n">
        <v>242.5640032958985</v>
      </c>
      <c r="K74" s="5" t="n"/>
      <c r="L74" s="5" t="n">
        <v>223.5299987792969</v>
      </c>
      <c r="M74" s="7">
        <f>IFERROR(IF(E74="Short",-1,1)*(IF(K74&lt;&gt;"",K74,L74)/J74-1),"")</f>
        <v/>
      </c>
      <c r="N74" s="6">
        <f>IFERROR(I74*(IF(K74&lt;&gt;"",K74,L74)-J74),"")</f>
        <v/>
      </c>
      <c r="O74" s="8" t="n">
        <v>0.68</v>
      </c>
      <c r="P74" s="2" t="n"/>
      <c r="Q7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5">
      <c r="A75" s="2" t="inlineStr">
        <is>
          <t>2026-10-07</t>
        </is>
      </c>
      <c r="B75" s="2" t="inlineStr">
        <is>
          <t>NKE</t>
        </is>
      </c>
      <c r="C75" s="2" t="inlineStr">
        <is>
          <t>NKE</t>
        </is>
      </c>
      <c r="D75" s="2" t="inlineStr">
        <is>
          <t>position (lifecycle)</t>
        </is>
      </c>
      <c r="E75" s="2" t="inlineStr">
        <is>
          <t>Short</t>
        </is>
      </c>
      <c r="F75" s="2" t="inlineStr">
        <is>
          <t>Open</t>
        </is>
      </c>
      <c r="G75" s="2" t="inlineStr">
        <is>
          <t>2026-10-15</t>
        </is>
      </c>
      <c r="H75" s="2" t="inlineStr"/>
      <c r="I75" s="4" t="n">
        <v>-256</v>
      </c>
      <c r="J75" s="5" t="n">
        <v>37.23433549165726</v>
      </c>
      <c r="K75" s="5" t="n"/>
      <c r="L75" s="5" t="n">
        <v>38.29999923706055</v>
      </c>
      <c r="M75" s="7">
        <f>IFERROR(IF(E75="Short",-1,1)*(IF(K75&lt;&gt;"",K75,L75)/J75-1),"")</f>
        <v/>
      </c>
      <c r="N75" s="6">
        <f>IFERROR(I75*(IF(K75&lt;&gt;"",K75,L75)-J75),"")</f>
        <v/>
      </c>
      <c r="O75" s="8" t="n">
        <v>0.65</v>
      </c>
      <c r="P75" s="2" t="n"/>
      <c r="Q75"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6">
      <c r="A76" s="2" t="inlineStr">
        <is>
          <t>2026-10-14</t>
        </is>
      </c>
      <c r="B76" s="2" t="inlineStr">
        <is>
          <t>SPY</t>
        </is>
      </c>
      <c r="C76" s="2" t="inlineStr">
        <is>
          <t>SPDR S&amp;P 500 ETF</t>
        </is>
      </c>
      <c r="D76" s="2" t="inlineStr">
        <is>
          <t>beta hedge</t>
        </is>
      </c>
      <c r="E76" s="2" t="inlineStr">
        <is>
          <t>Short</t>
        </is>
      </c>
      <c r="F76" s="2" t="inlineStr">
        <is>
          <t>Open</t>
        </is>
      </c>
      <c r="G76" s="2" t="inlineStr">
        <is>
          <t>2026-10-21</t>
        </is>
      </c>
      <c r="H76" s="2" t="inlineStr"/>
      <c r="I76" s="4" t="n">
        <v>-22</v>
      </c>
      <c r="J76" s="5" t="n">
        <v>768.7913632727273</v>
      </c>
      <c r="K76" s="5" t="n"/>
      <c r="L76" s="5" t="n">
        <v>763.864990234375</v>
      </c>
      <c r="M76" s="7">
        <f>IFERROR(IF(E76="Short",-1,1)*(IF(K76&lt;&gt;"",K76,L76)/J76-1),"")</f>
        <v/>
      </c>
      <c r="N76" s="6">
        <f>IFERROR(I76*(IF(K76&lt;&gt;"",K76,L76)-J76),"")</f>
        <v/>
      </c>
      <c r="O76" s="8" t="n"/>
      <c r="P76" s="2" t="n"/>
      <c r="Q76" s="9" t="inlineStr">
        <is>
          <t>SPY hedge to zero beta</t>
        </is>
      </c>
    </row>
    <row r="77">
      <c r="A77" s="2" t="inlineStr">
        <is>
          <t>2026-10-21</t>
        </is>
      </c>
      <c r="B77" s="2" t="inlineStr">
        <is>
          <t>CRM</t>
        </is>
      </c>
      <c r="C77" s="2" t="inlineStr">
        <is>
          <t>CRM</t>
        </is>
      </c>
      <c r="D77" s="2" t="inlineStr">
        <is>
          <t>position (lifecycle)</t>
        </is>
      </c>
      <c r="E77" s="2" t="inlineStr">
        <is>
          <t>Short</t>
        </is>
      </c>
      <c r="F77" s="2" t="inlineStr">
        <is>
          <t>Open</t>
        </is>
      </c>
      <c r="G77" s="2" t="inlineStr">
        <is>
          <t>2026-10-22</t>
        </is>
      </c>
      <c r="H77" s="2" t="inlineStr"/>
      <c r="I77" s="4" t="n">
        <v>-12</v>
      </c>
      <c r="J77" s="5" t="n">
        <v>250.35</v>
      </c>
      <c r="K77" s="5" t="n"/>
      <c r="L77" s="5" t="n">
        <v>250.2250061035156</v>
      </c>
      <c r="M77" s="7">
        <f>IFERROR(IF(E77="Short",-1,1)*(IF(K77&lt;&gt;"",K77,L77)/J77-1),"")</f>
        <v/>
      </c>
      <c r="N77" s="6">
        <f>IFERROR(I77*(IF(K77&lt;&gt;"",K77,L77)-J77),"")</f>
        <v/>
      </c>
      <c r="O77" s="8" t="n">
        <v>0.6</v>
      </c>
      <c r="P77" s="2" t="n"/>
      <c r="Q77"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8">
      <c r="A78" s="2" t="inlineStr">
        <is>
          <t>2026-10-21</t>
        </is>
      </c>
      <c r="B78" s="2" t="inlineStr">
        <is>
          <t>MSFT</t>
        </is>
      </c>
      <c r="C78" s="2" t="inlineStr">
        <is>
          <t>MSFT</t>
        </is>
      </c>
      <c r="D78" s="2" t="inlineStr">
        <is>
          <t>position (lifecycle)</t>
        </is>
      </c>
      <c r="E78" s="2" t="inlineStr">
        <is>
          <t>Short</t>
        </is>
      </c>
      <c r="F78" s="2" t="inlineStr">
        <is>
          <t>Open</t>
        </is>
      </c>
      <c r="G78" s="2" t="inlineStr">
        <is>
          <t>2026-10-22</t>
        </is>
      </c>
      <c r="H78" s="2" t="inlineStr"/>
      <c r="I78" s="4" t="n">
        <v>-5</v>
      </c>
      <c r="J78" s="5" t="n">
        <v>520.91</v>
      </c>
      <c r="K78" s="5" t="n"/>
      <c r="L78" s="5" t="n">
        <v>521.1900024414062</v>
      </c>
      <c r="M78" s="7">
        <f>IFERROR(IF(E78="Short",-1,1)*(IF(K78&lt;&gt;"",K78,L78)/J78-1),"")</f>
        <v/>
      </c>
      <c r="N78" s="6">
        <f>IFERROR(I78*(IF(K78&lt;&gt;"",K78,L78)-J78),"")</f>
        <v/>
      </c>
      <c r="O78" s="8" t="n">
        <v>0.55</v>
      </c>
      <c r="P78" s="2" t="n"/>
      <c r="Q78"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79">
      <c r="A79" s="2" t="inlineStr">
        <is>
          <t>2026-10-21</t>
        </is>
      </c>
      <c r="B79" s="2" t="inlineStr">
        <is>
          <t>NFLX</t>
        </is>
      </c>
      <c r="C79" s="2" t="inlineStr">
        <is>
          <t>NFLX</t>
        </is>
      </c>
      <c r="D79" s="2" t="inlineStr">
        <is>
          <t>position (lifecycle)</t>
        </is>
      </c>
      <c r="E79" s="2" t="inlineStr">
        <is>
          <t>Short</t>
        </is>
      </c>
      <c r="F79" s="2" t="inlineStr">
        <is>
          <t>Open</t>
        </is>
      </c>
      <c r="G79" s="2" t="inlineStr">
        <is>
          <t>2026-10-22</t>
        </is>
      </c>
      <c r="H79" s="2" t="inlineStr"/>
      <c r="I79" s="4" t="n">
        <v>-42</v>
      </c>
      <c r="J79" s="5" t="n">
        <v>67.04000000000001</v>
      </c>
      <c r="K79" s="5" t="n"/>
      <c r="L79" s="5" t="n">
        <v>67.07499694824219</v>
      </c>
      <c r="M79" s="7">
        <f>IFERROR(IF(E79="Short",-1,1)*(IF(K79&lt;&gt;"",K79,L79)/J79-1),"")</f>
        <v/>
      </c>
      <c r="N79" s="6">
        <f>IFERROR(I79*(IF(K79&lt;&gt;"",K79,L79)-J79),"")</f>
        <v/>
      </c>
      <c r="O79" s="8" t="n">
        <v>0.58</v>
      </c>
      <c r="P79" s="2" t="n"/>
      <c r="Q79"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0">
      <c r="A80" s="2" t="inlineStr">
        <is>
          <t>2026-10-21</t>
        </is>
      </c>
      <c r="B80" s="2" t="inlineStr">
        <is>
          <t>SMCI</t>
        </is>
      </c>
      <c r="C80" s="2" t="inlineStr">
        <is>
          <t>SMCI</t>
        </is>
      </c>
      <c r="D80" s="2" t="inlineStr">
        <is>
          <t>position (lifecycle)</t>
        </is>
      </c>
      <c r="E80" s="2" t="inlineStr">
        <is>
          <t>Long</t>
        </is>
      </c>
      <c r="F80" s="2" t="inlineStr">
        <is>
          <t>Open</t>
        </is>
      </c>
      <c r="G80" s="2" t="inlineStr">
        <is>
          <t>2026-10-22</t>
        </is>
      </c>
      <c r="H80" s="2" t="inlineStr"/>
      <c r="I80" s="4" t="n">
        <v>173</v>
      </c>
      <c r="J80" s="5" t="n">
        <v>33.72</v>
      </c>
      <c r="K80" s="5" t="n"/>
      <c r="L80" s="5" t="n">
        <v>33.73500061035156</v>
      </c>
      <c r="M80" s="7">
        <f>IFERROR(IF(E80="Short",-1,1)*(IF(K80&lt;&gt;"",K80,L80)/J80-1),"")</f>
        <v/>
      </c>
      <c r="N80" s="6">
        <f>IFERROR(I80*(IF(K80&lt;&gt;"",K80,L80)-J80),"")</f>
        <v/>
      </c>
      <c r="O80" s="8" t="n">
        <v>0.65</v>
      </c>
      <c r="P80" s="2" t="n"/>
      <c r="Q80"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1">
      <c r="A81" s="2" t="inlineStr">
        <is>
          <t>2026-10-21</t>
        </is>
      </c>
      <c r="B81" s="2" t="inlineStr">
        <is>
          <t>TSLA</t>
        </is>
      </c>
      <c r="C81" s="2" t="inlineStr">
        <is>
          <t>TSLA</t>
        </is>
      </c>
      <c r="D81" s="2" t="inlineStr">
        <is>
          <t>position (lifecycle)</t>
        </is>
      </c>
      <c r="E81" s="2" t="inlineStr">
        <is>
          <t>Long</t>
        </is>
      </c>
      <c r="F81" s="2" t="inlineStr">
        <is>
          <t>Open</t>
        </is>
      </c>
      <c r="G81" s="2" t="inlineStr">
        <is>
          <t>2026-10-22</t>
        </is>
      </c>
      <c r="H81" s="2" t="inlineStr"/>
      <c r="I81" s="4" t="n">
        <v>13</v>
      </c>
      <c r="J81" s="5" t="n">
        <v>375.053077</v>
      </c>
      <c r="K81" s="5" t="n"/>
      <c r="L81" s="5" t="n">
        <v>374.7900085449219</v>
      </c>
      <c r="M81" s="7">
        <f>IFERROR(IF(E81="Short",-1,1)*(IF(K81&lt;&gt;"",K81,L81)/J81-1),"")</f>
        <v/>
      </c>
      <c r="N81" s="6">
        <f>IFERROR(I81*(IF(K81&lt;&gt;"",K81,L81)-J81),"")</f>
        <v/>
      </c>
      <c r="O81" s="8" t="n">
        <v>0.55</v>
      </c>
      <c r="P81" s="2" t="n"/>
      <c r="Q81"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2">
      <c r="A82" s="2" t="inlineStr">
        <is>
          <t>2026-10-21</t>
        </is>
      </c>
      <c r="B82" s="2" t="inlineStr">
        <is>
          <t>AAPL</t>
        </is>
      </c>
      <c r="C82" s="2" t="inlineStr">
        <is>
          <t>AAPL</t>
        </is>
      </c>
      <c r="D82" s="2" t="inlineStr">
        <is>
          <t>position (lifecycle)</t>
        </is>
      </c>
      <c r="E82" s="2" t="inlineStr">
        <is>
          <t>Short</t>
        </is>
      </c>
      <c r="F82" s="2" t="inlineStr">
        <is>
          <t>Open</t>
        </is>
      </c>
      <c r="G82" s="2" t="inlineStr">
        <is>
          <t>2026-10-22</t>
        </is>
      </c>
      <c r="H82" s="2" t="inlineStr"/>
      <c r="I82" s="4" t="n">
        <v>-7</v>
      </c>
      <c r="J82" s="5" t="n">
        <v>348.188571</v>
      </c>
      <c r="K82" s="5" t="n"/>
      <c r="L82" s="5" t="n">
        <v>348.3099975585938</v>
      </c>
      <c r="M82" s="7">
        <f>IFERROR(IF(E82="Short",-1,1)*(IF(K82&lt;&gt;"",K82,L82)/J82-1),"")</f>
        <v/>
      </c>
      <c r="N82" s="6">
        <f>IFERROR(I82*(IF(K82&lt;&gt;"",K82,L82)-J82),"")</f>
        <v/>
      </c>
      <c r="O82" s="8" t="n">
        <v>0.5</v>
      </c>
      <c r="P82" s="2" t="n"/>
      <c r="Q82"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3">
      <c r="A83" s="2" t="inlineStr">
        <is>
          <t>2026-10-21</t>
        </is>
      </c>
      <c r="B83" s="2" t="inlineStr">
        <is>
          <t>CMG</t>
        </is>
      </c>
      <c r="C83" s="2" t="inlineStr">
        <is>
          <t>CMG</t>
        </is>
      </c>
      <c r="D83" s="2" t="inlineStr">
        <is>
          <t>position (lifecycle)</t>
        </is>
      </c>
      <c r="E83" s="2" t="inlineStr">
        <is>
          <t>Short</t>
        </is>
      </c>
      <c r="F83" s="2" t="inlineStr">
        <is>
          <t>Open</t>
        </is>
      </c>
      <c r="G83" s="2" t="inlineStr">
        <is>
          <t>2026-10-22</t>
        </is>
      </c>
      <c r="H83" s="2" t="inlineStr"/>
      <c r="I83" s="4" t="n">
        <v>-87</v>
      </c>
      <c r="J83" s="5" t="n">
        <v>28.07</v>
      </c>
      <c r="K83" s="5" t="n"/>
      <c r="L83" s="5" t="n">
        <v>28.06999969482422</v>
      </c>
      <c r="M83" s="7">
        <f>IFERROR(IF(E83="Short",-1,1)*(IF(K83&lt;&gt;"",K83,L83)/J83-1),"")</f>
        <v/>
      </c>
      <c r="N83" s="6">
        <f>IFERROR(I83*(IF(K83&lt;&gt;"",K83,L83)-J83),"")</f>
        <v/>
      </c>
      <c r="O83" s="8" t="n">
        <v>0.5</v>
      </c>
      <c r="P83" s="2" t="n"/>
      <c r="Q83"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4">
      <c r="A84" s="2" t="inlineStr">
        <is>
          <t>2026-10-21</t>
        </is>
      </c>
      <c r="B84" s="2" t="inlineStr">
        <is>
          <t>CSX</t>
        </is>
      </c>
      <c r="C84" s="2" t="inlineStr">
        <is>
          <t>CSX</t>
        </is>
      </c>
      <c r="D84" s="2" t="inlineStr">
        <is>
          <t>position (lifecycle)</t>
        </is>
      </c>
      <c r="E84" s="2" t="inlineStr">
        <is>
          <t>Long</t>
        </is>
      </c>
      <c r="F84" s="2" t="inlineStr">
        <is>
          <t>Open</t>
        </is>
      </c>
      <c r="G84" s="2" t="inlineStr">
        <is>
          <t>2026-10-22</t>
        </is>
      </c>
      <c r="H84" s="2" t="inlineStr"/>
      <c r="I84" s="4" t="n">
        <v>114</v>
      </c>
      <c r="J84" s="5" t="n">
        <v>51.72</v>
      </c>
      <c r="K84" s="5" t="n"/>
      <c r="L84" s="5" t="n">
        <v>51.64500045776367</v>
      </c>
      <c r="M84" s="7">
        <f>IFERROR(IF(E84="Short",-1,1)*(IF(K84&lt;&gt;"",K84,L84)/J84-1),"")</f>
        <v/>
      </c>
      <c r="N84" s="6">
        <f>IFERROR(I84*(IF(K84&lt;&gt;"",K84,L84)-J84),"")</f>
        <v/>
      </c>
      <c r="O84" s="8" t="n">
        <v>0.66</v>
      </c>
      <c r="P84" s="2" t="n"/>
      <c r="Q84"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5">
      <c r="A85" s="2" t="inlineStr">
        <is>
          <t>2026-10-21</t>
        </is>
      </c>
      <c r="B85" s="2" t="inlineStr">
        <is>
          <t>HAS</t>
        </is>
      </c>
      <c r="C85" s="2" t="inlineStr">
        <is>
          <t>HAS</t>
        </is>
      </c>
      <c r="D85" s="2" t="inlineStr">
        <is>
          <t>position (lifecycle)</t>
        </is>
      </c>
      <c r="E85" s="2" t="inlineStr">
        <is>
          <t>Long</t>
        </is>
      </c>
      <c r="F85" s="2" t="inlineStr">
        <is>
          <t>Open</t>
        </is>
      </c>
      <c r="G85" s="2" t="inlineStr">
        <is>
          <t>2026-10-22</t>
        </is>
      </c>
      <c r="H85" s="2" t="inlineStr"/>
      <c r="I85" s="4" t="n">
        <v>21</v>
      </c>
      <c r="J85" s="5" t="n">
        <v>117.22</v>
      </c>
      <c r="K85" s="5" t="n"/>
      <c r="L85" s="5" t="n">
        <v>117.1999969482422</v>
      </c>
      <c r="M85" s="7">
        <f>IFERROR(IF(E85="Short",-1,1)*(IF(K85&lt;&gt;"",K85,L85)/J85-1),"")</f>
        <v/>
      </c>
      <c r="N85" s="6">
        <f>IFERROR(I85*(IF(K85&lt;&gt;"",K85,L85)-J85),"")</f>
        <v/>
      </c>
      <c r="O85" s="8" t="n">
        <v>0.55</v>
      </c>
      <c r="P85" s="2" t="n"/>
      <c r="Q85"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6">
      <c r="A86" s="2" t="inlineStr">
        <is>
          <t>2026-10-21</t>
        </is>
      </c>
      <c r="B86" s="2" t="inlineStr">
        <is>
          <t>LRCX</t>
        </is>
      </c>
      <c r="C86" s="2" t="inlineStr">
        <is>
          <t>LRCX</t>
        </is>
      </c>
      <c r="D86" s="2" t="inlineStr">
        <is>
          <t>position (lifecycle)</t>
        </is>
      </c>
      <c r="E86" s="2" t="inlineStr">
        <is>
          <t>Short</t>
        </is>
      </c>
      <c r="F86" s="2" t="inlineStr">
        <is>
          <t>Open</t>
        </is>
      </c>
      <c r="G86" s="2" t="inlineStr">
        <is>
          <t>2026-10-22</t>
        </is>
      </c>
      <c r="H86" s="2" t="inlineStr"/>
      <c r="I86" s="4" t="n">
        <v>-13</v>
      </c>
      <c r="J86" s="5" t="n">
        <v>230.03</v>
      </c>
      <c r="K86" s="5" t="n"/>
      <c r="L86" s="5" t="n">
        <v>229.9900054931641</v>
      </c>
      <c r="M86" s="7">
        <f>IFERROR(IF(E86="Short",-1,1)*(IF(K86&lt;&gt;"",K86,L86)/J86-1),"")</f>
        <v/>
      </c>
      <c r="N86" s="6">
        <f>IFERROR(I86*(IF(K86&lt;&gt;"",K86,L86)-J86),"")</f>
        <v/>
      </c>
      <c r="O86" s="8" t="n">
        <v>0.62</v>
      </c>
      <c r="P86" s="2" t="n"/>
      <c r="Q86"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87">
      <c r="A87" s="2" t="inlineStr">
        <is>
          <t>2026-10-21</t>
        </is>
      </c>
      <c r="B87" s="2" t="inlineStr">
        <is>
          <t>MMM</t>
        </is>
      </c>
      <c r="C87" s="2" t="inlineStr">
        <is>
          <t>MMM</t>
        </is>
      </c>
      <c r="D87" s="2" t="inlineStr">
        <is>
          <t>position (lifecycle)</t>
        </is>
      </c>
      <c r="E87" s="2" t="inlineStr">
        <is>
          <t>Long</t>
        </is>
      </c>
      <c r="F87" s="2" t="inlineStr">
        <is>
          <t>Open</t>
        </is>
      </c>
      <c r="G87" s="2" t="inlineStr">
        <is>
          <t>2026-10-22</t>
        </is>
      </c>
      <c r="H87" s="2" t="inlineStr"/>
      <c r="I87" s="4" t="n">
        <v>15</v>
      </c>
      <c r="J87" s="5" t="n">
        <v>175.868</v>
      </c>
      <c r="K87" s="5" t="n"/>
      <c r="L87" s="5" t="n">
        <v>175.8500061035156</v>
      </c>
      <c r="M87" s="7">
        <f>IFERROR(IF(E87="Short",-1,1)*(IF(K87&lt;&gt;"",K87,L87)/J87-1),"")</f>
        <v/>
      </c>
      <c r="N87" s="6">
        <f>IFERROR(I87*(IF(K87&lt;&gt;"",K87,L87)-J87),"")</f>
        <v/>
      </c>
      <c r="O87" s="8" t="n">
        <v>0.6</v>
      </c>
      <c r="P87" s="2" t="n"/>
      <c r="Q87"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88">
      <c r="A88" s="2" t="inlineStr">
        <is>
          <t>2026-10-21</t>
        </is>
      </c>
      <c r="B88" s="2" t="inlineStr">
        <is>
          <t>ROL</t>
        </is>
      </c>
      <c r="C88" s="2" t="inlineStr">
        <is>
          <t>ROL</t>
        </is>
      </c>
      <c r="D88" s="2" t="inlineStr">
        <is>
          <t>position (lifecycle)</t>
        </is>
      </c>
      <c r="E88" s="2" t="inlineStr">
        <is>
          <t>Short</t>
        </is>
      </c>
      <c r="F88" s="2" t="inlineStr">
        <is>
          <t>Open</t>
        </is>
      </c>
      <c r="G88" s="2" t="inlineStr">
        <is>
          <t>2026-10-22</t>
        </is>
      </c>
      <c r="H88" s="2" t="inlineStr"/>
      <c r="I88" s="4" t="n">
        <v>-199</v>
      </c>
      <c r="J88" s="5" t="n">
        <v>35.28</v>
      </c>
      <c r="K88" s="5" t="n"/>
      <c r="L88" s="5" t="n">
        <v>35.31000137329102</v>
      </c>
      <c r="M88" s="7">
        <f>IFERROR(IF(E88="Short",-1,1)*(IF(K88&lt;&gt;"",K88,L88)/J88-1),"")</f>
        <v/>
      </c>
      <c r="N88" s="6">
        <f>IFERROR(I88*(IF(K88&lt;&gt;"",K88,L88)-J88),"")</f>
        <v/>
      </c>
      <c r="O88" s="8" t="n">
        <v>0.72</v>
      </c>
      <c r="P88" s="2" t="n"/>
      <c r="Q88"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row r="89">
      <c r="A89" s="2" t="inlineStr">
        <is>
          <t>2026-10-21</t>
        </is>
      </c>
      <c r="B89" s="2" t="inlineStr">
        <is>
          <t>WMT</t>
        </is>
      </c>
      <c r="C89" s="2" t="inlineStr">
        <is>
          <t>WMT</t>
        </is>
      </c>
      <c r="D89" s="2" t="inlineStr">
        <is>
          <t>position (lifecycle)</t>
        </is>
      </c>
      <c r="E89" s="2" t="inlineStr">
        <is>
          <t>Long</t>
        </is>
      </c>
      <c r="F89" s="2" t="inlineStr">
        <is>
          <t>Open</t>
        </is>
      </c>
      <c r="G89" s="2" t="inlineStr">
        <is>
          <t>2026-10-22</t>
        </is>
      </c>
      <c r="H89" s="2" t="inlineStr"/>
      <c r="I89" s="4" t="n">
        <v>24</v>
      </c>
      <c r="J89" s="5" t="n">
        <v>121.07</v>
      </c>
      <c r="K89" s="5" t="n"/>
      <c r="L89" s="5" t="n">
        <v>121.0999984741211</v>
      </c>
      <c r="M89" s="7">
        <f>IFERROR(IF(E89="Short",-1,1)*(IF(K89&lt;&gt;"",K89,L89)/J89-1),"")</f>
        <v/>
      </c>
      <c r="N89" s="6">
        <f>IFERROR(I89*(IF(K89&lt;&gt;"",K89,L89)-J89),"")</f>
        <v/>
      </c>
      <c r="O89" s="8" t="n">
        <v>0.65</v>
      </c>
      <c r="P89" s="2" t="n"/>
      <c r="Q89"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90">
      <c r="A90" s="2" t="inlineStr">
        <is>
          <t>2026-10-21</t>
        </is>
      </c>
      <c r="B90" s="2" t="inlineStr">
        <is>
          <t>XOM</t>
        </is>
      </c>
      <c r="C90" s="2" t="inlineStr">
        <is>
          <t>XOM</t>
        </is>
      </c>
      <c r="D90" s="2" t="inlineStr">
        <is>
          <t>position (lifecycle)</t>
        </is>
      </c>
      <c r="E90" s="2" t="inlineStr">
        <is>
          <t>Long</t>
        </is>
      </c>
      <c r="F90" s="2" t="inlineStr">
        <is>
          <t>Open</t>
        </is>
      </c>
      <c r="G90" s="2" t="inlineStr">
        <is>
          <t>2026-10-22</t>
        </is>
      </c>
      <c r="H90" s="2" t="inlineStr"/>
      <c r="I90" s="4" t="n">
        <v>14</v>
      </c>
      <c r="J90" s="5" t="n">
        <v>177.92</v>
      </c>
      <c r="K90" s="5" t="n"/>
      <c r="L90" s="5" t="n">
        <v>178.0800018310547</v>
      </c>
      <c r="M90" s="7">
        <f>IFERROR(IF(E90="Short",-1,1)*(IF(K90&lt;&gt;"",K90,L90)/J90-1),"")</f>
        <v/>
      </c>
      <c r="N90" s="6">
        <f>IFERROR(I90*(IF(K90&lt;&gt;"",K90,L90)-J90),"")</f>
        <v/>
      </c>
      <c r="O90" s="8" t="n">
        <v>0.55</v>
      </c>
      <c r="P90" s="2" t="n"/>
      <c r="Q90"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3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sheetData>
  <autoFilter ref="A1:O13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60648.56579808403</v>
      </c>
      <c r="D16" s="7">
        <f>IF(C15&gt;0,(B16-B15)/C15,"")</f>
        <v/>
      </c>
      <c r="E16" s="3">
        <f>B16-$B$2</f>
        <v/>
      </c>
      <c r="F16" s="7">
        <f>IF(C16&gt;0,E16/C16,"")</f>
        <v/>
      </c>
    </row>
  </sheetData>
  <autoFilter ref="A1:F1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sheetData>
  <autoFilter ref="A1:F2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2026-10-22T20:00:13Z</dcterms:created>
  <dcterms:modified xmlns:dcterms="http://purl.org/dc/terms/" xmlns:xsi="http://www.w3.org/2001/XMLSchema-instance" xsi:type="dcterms:W3CDTF">2026-10-22T20:00:18Z</dcterms:modified>
</cp:coreProperties>
</file>