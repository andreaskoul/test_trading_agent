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'Account'!$A$1:$F$12</definedName>
    <definedName name="_xlnm._FilterDatabase" localSheetId="6" hidden="1">'Cash activity'!$A$1:$F$14</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2026-10-16 12:16 ET)</t>
        </is>
      </c>
      <c r="B2" s="3" t="n">
        <v>97977.8591</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-1971.2109</v>
      </c>
    </row>
    <row r="7">
      <c r="A7" s="2" t="inlineStr">
        <is>
          <t>Dividends, fees &amp; interest</t>
        </is>
      </c>
      <c r="B7" s="3" t="n">
        <v>-2.27</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542.11</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52.095</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240.19</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77.13500000000001</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55.62</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340.785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23.4509</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234.65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529.215</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70.79000000000001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37.43</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217.46</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74.01000000000001</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129.85</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32.13</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165.96</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358.44</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310.14</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767.73</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931.42</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896.505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896.505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70.81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529.6799999999999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98.435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130.7</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767.73</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767.73</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767.73</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767.73</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541.8200000000001</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541.8200000000001</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334.55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334.55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334.55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189.33</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273.395</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343.77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55.625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837.96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1259.59</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234.92</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217.46</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217.46</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529.6799999999999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98.435</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243.125</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720.4</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37.45</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131</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131</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1335.19</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1335.19</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652.3150000000001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340.275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334.405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189.33</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529.6799999999999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273.395</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343.79</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837.96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1259.59</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98.435</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243.125</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720.4</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131</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1335.19</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767.73</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652.3150000000001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340.275</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542.11</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58.63000106811523</v>
      </c>
      <c r="K55" s="5" t="n"/>
      <c r="L55" s="5" t="n">
        <v>55.625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234.92</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37.45</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217.46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52.11</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240.25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77.2</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340.92</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23.45</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529.49</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70.795</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74.015</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130.02</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32.13</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165.75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358.535</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310.37</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54804.21994470312</v>
      </c>
      <c r="D12" s="7">
        <f>IF(C11&gt;0,(B12-B11)/C11,"")</f>
        <v/>
      </c>
      <c r="E12" s="3">
        <f>B12-$B$2</f>
        <v/>
      </c>
      <c r="F12" s="7">
        <f>IF(C12&gt;0,E12/C12,"")</f>
        <v/>
      </c>
    </row>
  </sheetData>
  <autoFilter ref="A1:F1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sheetData>
  <autoFilter ref="A1:F1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2026-10-16T16:16:06Z</dcterms:created>
  <dcterms:modified xmlns:dcterms="http://purl.org/dc/terms/" xmlns:xsi="http://www.w3.org/2001/XMLSchema-instance" xsi:type="dcterms:W3CDTF">2026-10-16T16:16:10Z</dcterms:modified>
</cp:coreProperties>
</file>