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trades'!$A$1:$H$15</definedName>
    <definedName name="_xlnm._FilterDatabase" localSheetId="3" hidden="1">'Positions'!$A$1:$Q$38</definedName>
    <definedName name="_xlnm._FilterDatabase" localSheetId="4" hidden="1">'Orders'!$A$1:$O$55</definedName>
    <definedName name="_xlnm._FilterDatabase" localSheetId="5" hidden="1">'Account'!$A$1:$F$10</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2026-10-14 19:59 ET)</t>
        </is>
      </c>
      <c r="B2" s="3" t="n">
        <v>98744.07239999999</v>
      </c>
    </row>
    <row r="3">
      <c r="A3" s="2" t="inlineStr">
        <is>
          <t>Net deposits</t>
        </is>
      </c>
      <c r="B3" s="3" t="n">
        <v>100000</v>
      </c>
    </row>
    <row r="4">
      <c r="A4" s="2" t="inlineStr">
        <is>
          <t>Account P&amp;L</t>
        </is>
      </c>
      <c r="B4" s="3">
        <f>B2-B3</f>
        <v/>
      </c>
    </row>
    <row r="5">
      <c r="A5" s="2" t="inlineStr">
        <is>
          <t>Realized P&amp;L (closed shares, FIFO)</t>
        </is>
      </c>
      <c r="B5" s="3" t="n">
        <v>-86.23999999999899</v>
      </c>
    </row>
    <row r="6">
      <c r="A6" s="2" t="inlineStr">
        <is>
          <t>Unrealized P&amp;L (open shares at Alpaca marks)</t>
        </is>
      </c>
      <c r="B6" s="3" t="n">
        <v>-1168.357599999998</v>
      </c>
    </row>
    <row r="7">
      <c r="A7" s="2" t="inlineStr">
        <is>
          <t>Dividends, fees &amp; interest</t>
        </is>
      </c>
      <c r="B7" s="3" t="n">
        <v>-1.33</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554.3662</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341.8264</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183.9695</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527.248</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276.25</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344.23</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61.5713</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869.2934</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1214</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93.16</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238.79</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730.3099999999999</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239.45</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35.06</v>
      </c>
      <c r="H15" s="6">
        <f>D15*G15</f>
        <v/>
      </c>
      <c r="I15" s="3">
        <f>D15*(G15-F15)</f>
        <v/>
      </c>
      <c r="J15" s="7">
        <f>IF(D15&gt;0,1,-1)*(G15/F15-1)</f>
        <v/>
      </c>
    </row>
    <row r="16">
      <c r="A16" s="2" t="inlineStr">
        <is>
          <t>NVDA</t>
        </is>
      </c>
      <c r="B16" s="2" t="inlineStr">
        <is>
          <t>Nvidia</t>
        </is>
      </c>
      <c r="C16" s="2" t="inlineStr">
        <is>
          <t>Long</t>
        </is>
      </c>
      <c r="D16" s="4" t="n">
        <v>7</v>
      </c>
      <c r="E16" s="2" t="inlineStr">
        <is>
          <t>2026-10-08</t>
        </is>
      </c>
      <c r="F16" s="5" t="n">
        <v>230.4985714285714</v>
      </c>
      <c r="G16" s="5" t="n">
        <v>217.94</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129.74</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1357.5</v>
      </c>
      <c r="H18" s="6">
        <f>D18*G18</f>
        <v/>
      </c>
      <c r="I18" s="3">
        <f>D18*(G18-F18)</f>
        <v/>
      </c>
      <c r="J18" s="7">
        <f>IF(D18&gt;0,1,-1)*(G18/F18-1)</f>
        <v/>
      </c>
    </row>
    <row r="19">
      <c r="A19" s="2" t="inlineStr">
        <is>
          <t>SPY</t>
        </is>
      </c>
      <c r="B19" s="2" t="inlineStr">
        <is>
          <t>SPDR S&amp;P 500 ETF</t>
        </is>
      </c>
      <c r="C19" s="2" t="inlineStr">
        <is>
          <t>Short</t>
        </is>
      </c>
      <c r="D19" s="4" t="n">
        <v>-15</v>
      </c>
      <c r="E19" s="2" t="inlineStr">
        <is>
          <t>2026-10-08</t>
        </is>
      </c>
      <c r="F19" s="5" t="n">
        <v>773.95</v>
      </c>
      <c r="G19" s="5" t="n">
        <v>767.1569</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692.0358</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353.2632</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Nvidia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769.5999755859375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941.780029296875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914.1300048828125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914.1300048828125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70.56999969482422</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526.3499755859375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94.08999633789062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127.4100036621094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769.5999755859375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769.5999755859375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769.5999755859375</v>
      </c>
      <c r="L12" s="5" t="n">
        <v>769.5999755859375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Open</t>
        </is>
      </c>
      <c r="G13" s="2" t="inlineStr">
        <is>
          <t>2026-10-14</t>
        </is>
      </c>
      <c r="H13" s="2" t="inlineStr"/>
      <c r="I13" s="4" t="n">
        <v>-15</v>
      </c>
      <c r="J13" s="5" t="n">
        <v>769.5999755859375</v>
      </c>
      <c r="K13" s="5" t="n"/>
      <c r="L13" s="5" t="n">
        <v>769.5999755859375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570.8200073242188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Open</t>
        </is>
      </c>
      <c r="G15" s="2" t="inlineStr">
        <is>
          <t>2026-10-13</t>
        </is>
      </c>
      <c r="H15" s="2" t="inlineStr"/>
      <c r="I15" s="4" t="n">
        <v>2</v>
      </c>
      <c r="J15" s="5" t="n">
        <v>605.795</v>
      </c>
      <c r="K15" s="5" t="n"/>
      <c r="L15" s="5" t="n">
        <v>570.8200073242188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346.25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346.25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Open</t>
        </is>
      </c>
      <c r="G18" s="2" t="inlineStr">
        <is>
          <t>2026-10-13</t>
        </is>
      </c>
      <c r="H18" s="2" t="inlineStr"/>
      <c r="I18" s="4" t="n">
        <v>2</v>
      </c>
      <c r="J18" s="5" t="n">
        <v>357.595</v>
      </c>
      <c r="K18" s="5" t="n"/>
      <c r="L18" s="5" t="n">
        <v>346.25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Open</t>
        </is>
      </c>
      <c r="G19" s="2" t="inlineStr">
        <is>
          <t>2026-10-08</t>
        </is>
      </c>
      <c r="H19" s="2" t="inlineStr"/>
      <c r="I19" s="4" t="n">
        <v>33</v>
      </c>
      <c r="J19" s="5" t="n">
        <v>187.69</v>
      </c>
      <c r="K19" s="5" t="n"/>
      <c r="L19" s="5" t="n">
        <v>184.6600036621094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Open</t>
        </is>
      </c>
      <c r="G20" s="2" t="inlineStr">
        <is>
          <t>2026-10-08</t>
        </is>
      </c>
      <c r="H20" s="2" t="inlineStr"/>
      <c r="I20" s="4" t="n">
        <v>10</v>
      </c>
      <c r="J20" s="5" t="n">
        <v>285.07</v>
      </c>
      <c r="K20" s="5" t="n"/>
      <c r="L20" s="5" t="n">
        <v>279.5400085449219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Open</t>
        </is>
      </c>
      <c r="G21" s="2" t="inlineStr">
        <is>
          <t>2026-10-08</t>
        </is>
      </c>
      <c r="H21" s="2" t="inlineStr"/>
      <c r="I21" s="4" t="n">
        <v>9</v>
      </c>
      <c r="J21" s="5" t="n">
        <v>348.411111</v>
      </c>
      <c r="K21" s="5" t="n"/>
      <c r="L21" s="5" t="n">
        <v>347.6400146484375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Open</t>
        </is>
      </c>
      <c r="G22" s="2" t="inlineStr">
        <is>
          <t>2026-10-08</t>
        </is>
      </c>
      <c r="H22" s="2" t="inlineStr"/>
      <c r="I22" s="4" t="n">
        <v>40</v>
      </c>
      <c r="J22" s="5" t="n">
        <v>70.92</v>
      </c>
      <c r="K22" s="5" t="n"/>
      <c r="L22" s="5" t="n">
        <v>63.11000061035156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Open</t>
        </is>
      </c>
      <c r="G23" s="2" t="inlineStr">
        <is>
          <t>2026-10-08</t>
        </is>
      </c>
      <c r="H23" s="2" t="inlineStr"/>
      <c r="I23" s="4" t="n">
        <v>3</v>
      </c>
      <c r="J23" s="5" t="n">
        <v>1050.046667</v>
      </c>
      <c r="K23" s="5" t="n"/>
      <c r="L23" s="5" t="n">
        <v>896.3300170898438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Open</t>
        </is>
      </c>
      <c r="G24" s="2" t="inlineStr">
        <is>
          <t>2026-10-08</t>
        </is>
      </c>
      <c r="H24" s="2" t="inlineStr"/>
      <c r="I24" s="4" t="n">
        <v>2</v>
      </c>
      <c r="J24" s="5" t="n">
        <v>1170.25</v>
      </c>
      <c r="K24" s="5" t="n"/>
      <c r="L24" s="5" t="n">
        <v>1208.739990234375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Open</t>
        </is>
      </c>
      <c r="G25" s="2" t="inlineStr">
        <is>
          <t>2026-10-08</t>
        </is>
      </c>
      <c r="H25" s="2" t="inlineStr"/>
      <c r="I25" s="4" t="n">
        <v>23</v>
      </c>
      <c r="J25" s="5" t="n">
        <v>274.618695</v>
      </c>
      <c r="K25" s="5" t="n"/>
      <c r="L25" s="5" t="n">
        <v>245.2799987792969</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221.3000030517578</v>
      </c>
      <c r="L26" s="5" t="n">
        <v>221.3000030517578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Open</t>
        </is>
      </c>
      <c r="G27" s="2" t="inlineStr">
        <is>
          <t>2026-10-14</t>
        </is>
      </c>
      <c r="H27" s="2" t="inlineStr"/>
      <c r="I27" s="4" t="n">
        <v>7</v>
      </c>
      <c r="J27" s="5" t="n">
        <v>221.3000030517578</v>
      </c>
      <c r="K27" s="5" t="n"/>
      <c r="L27" s="5" t="n">
        <v>221.3000030517578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Open</t>
        </is>
      </c>
      <c r="G28" s="2" t="inlineStr">
        <is>
          <t>2026-10-08</t>
        </is>
      </c>
      <c r="H28" s="2" t="inlineStr"/>
      <c r="I28" s="4" t="n">
        <v>-4</v>
      </c>
      <c r="J28" s="5" t="n">
        <v>511.0499877929688</v>
      </c>
      <c r="K28" s="5" t="n"/>
      <c r="L28" s="5" t="n">
        <v>526.3499755859375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Open</t>
        </is>
      </c>
      <c r="G29" s="2" t="inlineStr">
        <is>
          <t>2026-10-08</t>
        </is>
      </c>
      <c r="H29" s="2" t="inlineStr"/>
      <c r="I29" s="4" t="n">
        <v>-32</v>
      </c>
      <c r="J29" s="5" t="n">
        <v>92.70999999999999</v>
      </c>
      <c r="K29" s="5" t="n"/>
      <c r="L29" s="5" t="n">
        <v>94.08999633789062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Open</t>
        </is>
      </c>
      <c r="G30" s="2" t="inlineStr">
        <is>
          <t>2026-10-08</t>
        </is>
      </c>
      <c r="H30" s="2" t="inlineStr"/>
      <c r="I30" s="4" t="n">
        <v>-13</v>
      </c>
      <c r="J30" s="5" t="n">
        <v>236.64</v>
      </c>
      <c r="K30" s="5" t="n"/>
      <c r="L30" s="5" t="n">
        <v>238.3099975585938</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Open</t>
        </is>
      </c>
      <c r="G31" s="2" t="inlineStr">
        <is>
          <t>2026-10-08</t>
        </is>
      </c>
      <c r="H31" s="2" t="inlineStr"/>
      <c r="I31" s="4" t="n">
        <v>-4</v>
      </c>
      <c r="J31" s="5" t="n">
        <v>720.8099999999999</v>
      </c>
      <c r="K31" s="5" t="n"/>
      <c r="L31" s="5" t="n">
        <v>737.5399780273438</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Open</t>
        </is>
      </c>
      <c r="G32" s="2" t="inlineStr">
        <is>
          <t>2026-10-08</t>
        </is>
      </c>
      <c r="H32" s="2" t="inlineStr"/>
      <c r="I32" s="4" t="n">
        <v>-187</v>
      </c>
      <c r="J32" s="5" t="n">
        <v>34.761176</v>
      </c>
      <c r="K32" s="5" t="n"/>
      <c r="L32" s="5" t="n">
        <v>35.29999923706055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129.2700042724609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Open</t>
        </is>
      </c>
      <c r="G34" s="2" t="inlineStr">
        <is>
          <t>2026-10-09</t>
        </is>
      </c>
      <c r="H34" s="2" t="inlineStr"/>
      <c r="I34" s="4" t="n">
        <v>-8</v>
      </c>
      <c r="J34" s="5" t="n">
        <v>125.99375</v>
      </c>
      <c r="K34" s="5" t="n"/>
      <c r="L34" s="5" t="n">
        <v>129.2700042724609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1403.339965820312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Open</t>
        </is>
      </c>
      <c r="G36" s="2" t="inlineStr">
        <is>
          <t>2026-10-09</t>
        </is>
      </c>
      <c r="H36" s="2" t="inlineStr"/>
      <c r="I36" s="4" t="n">
        <v>-2</v>
      </c>
      <c r="J36" s="5" t="n">
        <v>1581.73</v>
      </c>
      <c r="K36" s="5" t="n"/>
      <c r="L36" s="5" t="n">
        <v>1403.339965820312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Open</t>
        </is>
      </c>
      <c r="G37" s="2" t="inlineStr">
        <is>
          <t>2026-10-08</t>
        </is>
      </c>
      <c r="H37" s="2" t="inlineStr"/>
      <c r="I37" s="4" t="n">
        <v>-3</v>
      </c>
      <c r="J37" s="5" t="n">
        <v>775.35</v>
      </c>
      <c r="K37" s="5" t="n"/>
      <c r="L37" s="5" t="n">
        <v>713.5399780273438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Open</t>
        </is>
      </c>
      <c r="G38" s="2" t="inlineStr">
        <is>
          <t>2026-10-08</t>
        </is>
      </c>
      <c r="H38" s="2" t="inlineStr"/>
      <c r="I38" s="4" t="n">
        <v>-8</v>
      </c>
      <c r="J38" s="5" t="n">
        <v>393.05</v>
      </c>
      <c r="K38" s="5" t="n"/>
      <c r="L38" s="5" t="n">
        <v>364.1000061035156</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c r="L54" s="5" t="n"/>
      <c r="M54" s="11" t="n"/>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c r="L55" s="5" t="n"/>
      <c r="M55" s="11" t="n"/>
      <c r="N55" s="10">
        <f>IFERROR(G55*IF(K55&lt;&gt;"",K55,I55),"")</f>
        <v/>
      </c>
      <c r="O55" s="2" t="inlineStr">
        <is>
          <t>fund-2026-10-07-SPY-r20261014</t>
        </is>
      </c>
    </row>
  </sheetData>
  <autoFilter ref="A1:O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sheetData>
  <autoFilter ref="A1:F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2026-10-14T23:59:16Z</dcterms:created>
  <dcterms:modified xmlns:dcterms="http://purl.org/dc/terms/" xmlns:xsi="http://www.w3.org/2001/XMLSchema-instance" xsi:type="dcterms:W3CDTF">2026-10-14T23:59:17Z</dcterms:modified>
</cp:coreProperties>
</file>