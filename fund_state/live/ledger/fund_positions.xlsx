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'Orders'!$A$1:$O$90</definedName>
    <definedName name="_xlnm._FilterDatabase" localSheetId="5" hidden="1">'Account'!$A$1:$F$12</definedName>
    <definedName name="_xlnm._FilterDatabase" localSheetId="6" hidden="1">'Cash activity'!$A$1:$F$14</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2026-10-16 16:01 ET)</t>
        </is>
      </c>
      <c r="B2" s="3" t="n">
        <v>97920.3645</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-2062.105500000001</v>
      </c>
    </row>
    <row r="7">
      <c r="A7" s="2" t="inlineStr">
        <is>
          <t>Dividends, fees &amp; interest</t>
        </is>
      </c>
      <c r="B7" s="3" t="n">
        <v>-2.27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529.11</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51.23</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241</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75.37</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55</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338.686</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23.65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228.23</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528.5700000000001</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70.6795</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37.13</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213.924</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72.02</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128.5</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31.705</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165.74</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354.91</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310.5</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763.22998046875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921.02001953125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878.8400268554688</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878.8400268554688</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70.52999877929688</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532.02001953125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97.09999847412109</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131.3399963378906</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763.22998046875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763.22998046875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763.22998046875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763.22998046875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528.75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528.75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328.75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328.75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328.75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190.0399932861328</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271.3699951171875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340.5899963378906</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55.13000106811523</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824.1300048828125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1257.255004882812</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227.8300018310547</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214.1300048828125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214.1300048828125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532.02001953125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97.09999847412109</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242.9400024414062</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709.3250122070312</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37.125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131.4900054931641</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131.4900054931641</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1299.300048828125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1299.300048828125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639.010009765625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332</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328.75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190.0399932861328</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532.02001953125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271.3699951171875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340.5899963378906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824.1300048828125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1257.255004882812</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97.09999847412109</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242.9400024414062</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709.3250122070312</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131.4900054931641</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1299.300048828125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763.22998046875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639.010009765625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332</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528.75</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55.13000106811523</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227.8300018310547</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37.125</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214.1300048828125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51.22499847412109</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240.6799926757812</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75.37000274658203</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339.7200012207031</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23.68000030517578</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529.0499877929688</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70.52999877929688</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72.01999664306641</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128.2200012207031</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31.6299991607666</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165.7250061035156</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354.7200012207031</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310.4200134277344</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sheetData>
  <autoFilter ref="A1:O9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54738.38526770313</v>
      </c>
      <c r="D12" s="7">
        <f>IF(C11&gt;0,(B12-B11)/C11,"")</f>
        <v/>
      </c>
      <c r="E12" s="3">
        <f>B12-$B$2</f>
        <v/>
      </c>
      <c r="F12" s="7">
        <f>IF(C12&gt;0,E12/C12,"")</f>
        <v/>
      </c>
    </row>
  </sheetData>
  <autoFilter ref="A1:F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sheetData>
  <autoFilter ref="A1:F1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2026-10-16T20:01:37Z</dcterms:created>
  <dcterms:modified xmlns:dcterms="http://purl.org/dc/terms/" xmlns:xsi="http://www.w3.org/2001/XMLSchema-instance" xsi:type="dcterms:W3CDTF">2026-10-16T20:01:42Z</dcterms:modified>
</cp:coreProperties>
</file>