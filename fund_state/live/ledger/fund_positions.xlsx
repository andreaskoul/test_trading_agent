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trades'!$A$1:$H$32</definedName>
    <definedName name="_xlnm._FilterDatabase" localSheetId="3" hidden="1">'Positions'!$A$1:$Q$71</definedName>
    <definedName name="_xlnm._FilterDatabase" localSheetId="4" hidden="1">'Orders'!$A$1:$O$87</definedName>
    <definedName name="_xlnm._FilterDatabase" localSheetId="5" hidden="1">'Account'!$A$1:$F$12</definedName>
    <definedName name="_xlnm._FilterDatabase" localSheetId="6" hidden="1">'Cash activity'!$A$1:$F$14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2026-10-16 12:16 ET)</t>
        </is>
      </c>
      <c r="B2" s="3" t="n">
        <v>97976.5141</v>
      </c>
    </row>
    <row r="3">
      <c r="A3" s="2" t="inlineStr">
        <is>
          <t>Net deposits</t>
        </is>
      </c>
      <c r="B3" s="3" t="n">
        <v>100000</v>
      </c>
    </row>
    <row r="4">
      <c r="A4" s="2" t="inlineStr">
        <is>
          <t>Account P&amp;L</t>
        </is>
      </c>
      <c r="B4" s="3">
        <f>B2-B3</f>
        <v/>
      </c>
    </row>
    <row r="5">
      <c r="A5" s="2" t="inlineStr">
        <is>
          <t>Realized P&amp;L (closed shares, FIFO)</t>
        </is>
      </c>
      <c r="B5" s="3" t="n">
        <v>-48.65999999999804</v>
      </c>
    </row>
    <row r="6">
      <c r="A6" s="2" t="inlineStr">
        <is>
          <t>Unrealized P&amp;L (open shares at Alpaca marks)</t>
        </is>
      </c>
      <c r="B6" s="3" t="n">
        <v>-1972.555900000001</v>
      </c>
    </row>
    <row r="7">
      <c r="A7" s="2" t="inlineStr">
        <is>
          <t>Dividends, fees &amp; interest</t>
        </is>
      </c>
      <c r="B7" s="3" t="n">
        <v>-2.27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542.11</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52.105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240.19</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77.13500000000001</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55.62</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340.785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23.4509</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234.65</v>
      </c>
      <c r="H9" s="6">
        <f>D9*G9</f>
        <v/>
      </c>
      <c r="I9" s="3">
        <f>D9*(G9-F9)</f>
        <v/>
      </c>
      <c r="J9" s="7">
        <f>IF(D9&gt;0,1,-1)*(G9/F9-1)</f>
        <v/>
      </c>
    </row>
    <row r="10">
      <c r="A10" s="2" t="inlineStr">
        <is>
          <t>MSFT</t>
        </is>
      </c>
      <c r="B10" s="2" t="inlineStr">
        <is>
          <t>MSFT</t>
        </is>
      </c>
      <c r="C10" s="2" t="inlineStr">
        <is>
          <t>Long</t>
        </is>
      </c>
      <c r="D10" s="4" t="n">
        <v>5</v>
      </c>
      <c r="E10" s="2" t="inlineStr">
        <is>
          <t>2026-10-15</t>
        </is>
      </c>
      <c r="F10" s="5" t="n">
        <v>539.6299999999999</v>
      </c>
      <c r="G10" s="5" t="n">
        <v>529.16</v>
      </c>
      <c r="H10" s="6">
        <f>D10*G10</f>
        <v/>
      </c>
      <c r="I10" s="3">
        <f>D10*(G10-F10)</f>
        <v/>
      </c>
      <c r="J10" s="7">
        <f>IF(D10&gt;0,1,-1)*(G10/F10-1)</f>
        <v/>
      </c>
    </row>
    <row r="11">
      <c r="A11" s="2" t="inlineStr">
        <is>
          <t>NFLX</t>
        </is>
      </c>
      <c r="B11" s="2" t="inlineStr">
        <is>
          <t>NFLX</t>
        </is>
      </c>
      <c r="C11" s="2" t="inlineStr">
        <is>
          <t>Short</t>
        </is>
      </c>
      <c r="D11" s="4" t="n">
        <v>-30</v>
      </c>
      <c r="E11" s="2" t="inlineStr">
        <is>
          <t>2026-10-15</t>
        </is>
      </c>
      <c r="F11" s="5" t="n">
        <v>72.61</v>
      </c>
      <c r="G11" s="5" t="n">
        <v>70.79000000000001</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37.43</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217.43</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74.01000000000001</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129.85</v>
      </c>
      <c r="H15" s="6">
        <f>D15*G15</f>
        <v/>
      </c>
      <c r="I15" s="3">
        <f>D15*(G15-F15)</f>
        <v/>
      </c>
      <c r="J15" s="7">
        <f>IF(D15&gt;0,1,-1)*(G15/F15-1)</f>
        <v/>
      </c>
    </row>
    <row r="16">
      <c r="A16" s="2" t="inlineStr">
        <is>
          <t>SMCI</t>
        </is>
      </c>
      <c r="B16" s="2" t="inlineStr">
        <is>
          <t>SMCI</t>
        </is>
      </c>
      <c r="C16" s="2" t="inlineStr">
        <is>
          <t>Short</t>
        </is>
      </c>
      <c r="D16" s="4" t="n">
        <v>-62</v>
      </c>
      <c r="E16" s="2" t="inlineStr">
        <is>
          <t>2026-10-15</t>
        </is>
      </c>
      <c r="F16" s="5" t="n">
        <v>35.09467741935484</v>
      </c>
      <c r="G16" s="5" t="n">
        <v>32.13</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165.96</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358.515</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310.14</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sheetData>
  <autoFilter ref="A1:H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767.719970703125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930.760009765625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896.6300048828125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896.6300048828125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70.80889892578125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529.8400268554688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98.55999755859375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130.7599945068359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767.719970703125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767.719970703125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767.719970703125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767.719970703125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541.9500732421875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541.9500732421875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334.4400024414062</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334.4400024414062</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334.4400024414062</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189.2994995117188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273.3949890136719</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343.7900085449219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55.63999938964844</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837.030029296875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1259.795043945312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234.5899963378906</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217.4700012207031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217.4700012207031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529.8400268554688</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98.55999755859375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243.1000061035156</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720.4400024414062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37.43500137329102</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131.0099945068359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131.0099945068359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1334.275024414062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1334.275024414062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652.3881225585938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340.1317138671875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334.4049987792969</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189.2994995117188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529.8400268554688</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273.3949890136719</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343.7900085449219</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837.030029296875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1259.795043945312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98.52999877929688</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243.0500030517578</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720.4400024414062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131.0099945068359</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1334.280029296875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767.6599731445312</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652.0900268554688</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340.1499938964844</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542.1099853515625</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55.63999938964844</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234.5099945068359</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37.43500137329102</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217.4349975585938</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52.11000061035156</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240.1900024414062</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77.16000366210938</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340.9450073242188</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23.45499992370605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5</v>
      </c>
      <c r="J64" s="5" t="n">
        <v>539.63</v>
      </c>
      <c r="K64" s="5" t="n"/>
      <c r="L64" s="5" t="n">
        <v>529.22998046875</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-30</v>
      </c>
      <c r="J65" s="5" t="n">
        <v>72.61</v>
      </c>
      <c r="K65" s="5" t="n"/>
      <c r="L65" s="5" t="n">
        <v>70.80000305175781</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74.01000213623047</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129.8699951171875</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-62</v>
      </c>
      <c r="J68" s="5" t="n">
        <v>35.094677</v>
      </c>
      <c r="K68" s="5" t="n"/>
      <c r="L68" s="5" t="n">
        <v>32.13000106811523</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166.0899963378906</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358.489990234375</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310.1400146484375</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sheetData>
  <autoFilter ref="A1:O8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54804.21994470312</v>
      </c>
      <c r="D12" s="7">
        <f>IF(C11&gt;0,(B12-B11)/C11,"")</f>
        <v/>
      </c>
      <c r="E12" s="3">
        <f>B12-$B$2</f>
        <v/>
      </c>
      <c r="F12" s="7">
        <f>IF(C12&gt;0,E12/C12,"")</f>
        <v/>
      </c>
    </row>
  </sheetData>
  <autoFilter ref="A1:F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sheetData>
  <autoFilter ref="A1:F1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2026-10-16T16:16:07Z</dcterms:created>
  <dcterms:modified xmlns:dcterms="http://purl.org/dc/terms/" xmlns:xsi="http://www.w3.org/2001/XMLSchema-instance" xsi:type="dcterms:W3CDTF">2026-10-16T16:16:11Z</dcterms:modified>
</cp:coreProperties>
</file>