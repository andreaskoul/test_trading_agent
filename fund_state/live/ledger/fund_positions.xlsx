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trades'!$A$1:$H$51</definedName>
    <definedName name="_xlnm._FilterDatabase" localSheetId="3" hidden="1">'Positions'!$A$1:$Q$90</definedName>
    <definedName name="_xlnm._FilterDatabase" localSheetId="4" hidden="1">'Orders'!$A$1:$O$133</definedName>
    <definedName name="_xlnm._FilterDatabase" localSheetId="5" hidden="1">'Account'!$A$1:$F$17</definedName>
    <definedName name="_xlnm._FilterDatabase" localSheetId="6" hidden="1">'Cash activity'!$A$1:$F$23</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2026-10-23 09:45 ET)</t>
        </is>
      </c>
      <c r="B2" s="3" t="n">
        <v>97412.6774</v>
      </c>
    </row>
    <row r="3">
      <c r="A3" s="2" t="inlineStr">
        <is>
          <t>Net deposits</t>
        </is>
      </c>
      <c r="B3" s="3" t="n">
        <v>100000</v>
      </c>
    </row>
    <row r="4">
      <c r="A4" s="2" t="inlineStr">
        <is>
          <t>Account P&amp;L</t>
        </is>
      </c>
      <c r="B4" s="3">
        <f>B2-B3</f>
        <v/>
      </c>
    </row>
    <row r="5">
      <c r="A5" s="2" t="inlineStr">
        <is>
          <t>Realized P&amp;L (closed shares, FIFO)</t>
        </is>
      </c>
      <c r="B5" s="3" t="n">
        <v>-852.9799999999985</v>
      </c>
    </row>
    <row r="6">
      <c r="A6" s="2" t="inlineStr">
        <is>
          <t>Unrealized P&amp;L (open shares at Alpaca marks)</t>
        </is>
      </c>
      <c r="B6" s="3" t="n">
        <v>-1730.472599999998</v>
      </c>
    </row>
    <row r="7">
      <c r="A7" s="2" t="inlineStr">
        <is>
          <t>Dividends, fees &amp; interest</t>
        </is>
      </c>
      <c r="B7" s="3" t="n">
        <v>-3.869999999999999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349.01</v>
      </c>
      <c r="H2" s="6">
        <f>D2*G2</f>
        <v/>
      </c>
      <c r="I2" s="3">
        <f>D2*(G2-F2)</f>
        <v/>
      </c>
      <c r="J2" s="7">
        <f>IF(D2&gt;0,1,-1)*(G2/F2-1)</f>
        <v/>
      </c>
    </row>
    <row r="3">
      <c r="A3" s="2" t="inlineStr">
        <is>
          <t>AMD</t>
        </is>
      </c>
      <c r="B3" s="2" t="inlineStr">
        <is>
          <t>AMD</t>
        </is>
      </c>
      <c r="C3" s="2" t="inlineStr">
        <is>
          <t>Short</t>
        </is>
      </c>
      <c r="D3" s="4" t="n">
        <v>-5</v>
      </c>
      <c r="E3" s="2" t="inlineStr">
        <is>
          <t>2026-10-22</t>
        </is>
      </c>
      <c r="F3" s="5" t="n">
        <v>507.3560000000001</v>
      </c>
      <c r="G3" s="5" t="n">
        <v>515.26</v>
      </c>
      <c r="H3" s="6">
        <f>D3*G3</f>
        <v/>
      </c>
      <c r="I3" s="3">
        <f>D3*(G3-F3)</f>
        <v/>
      </c>
      <c r="J3" s="7">
        <f>IF(D3&gt;0,1,-1)*(G3/F3-1)</f>
        <v/>
      </c>
    </row>
    <row r="4">
      <c r="A4" s="2" t="inlineStr">
        <is>
          <t>AVGO</t>
        </is>
      </c>
      <c r="B4" s="2" t="inlineStr">
        <is>
          <t>AVGO</t>
        </is>
      </c>
      <c r="C4" s="2" t="inlineStr">
        <is>
          <t>Short</t>
        </is>
      </c>
      <c r="D4" s="4" t="n">
        <v>-7</v>
      </c>
      <c r="E4" s="2" t="inlineStr">
        <is>
          <t>2026-10-22</t>
        </is>
      </c>
      <c r="F4" s="5" t="n">
        <v>323.3714285714286</v>
      </c>
      <c r="G4" s="5" t="n">
        <v>323.79</v>
      </c>
      <c r="H4" s="6">
        <f>D4*G4</f>
        <v/>
      </c>
      <c r="I4" s="3">
        <f>D4*(G4-F4)</f>
        <v/>
      </c>
      <c r="J4" s="7">
        <f>IF(D4&gt;0,1,-1)*(G4/F4-1)</f>
        <v/>
      </c>
    </row>
    <row r="5">
      <c r="A5" s="2" t="inlineStr">
        <is>
          <t>BA</t>
        </is>
      </c>
      <c r="B5" s="2" t="inlineStr">
        <is>
          <t>BA</t>
        </is>
      </c>
      <c r="C5" s="2" t="inlineStr">
        <is>
          <t>Long</t>
        </is>
      </c>
      <c r="D5" s="4" t="n">
        <v>13</v>
      </c>
      <c r="E5" s="2" t="inlineStr">
        <is>
          <t>2026-10-22</t>
        </is>
      </c>
      <c r="F5" s="5" t="n">
        <v>187.4653846153846</v>
      </c>
      <c r="G5" s="5" t="n">
        <v>184.04</v>
      </c>
      <c r="H5" s="6">
        <f>D5*G5</f>
        <v/>
      </c>
      <c r="I5" s="3">
        <f>D5*(G5-F5)</f>
        <v/>
      </c>
      <c r="J5" s="7">
        <f>IF(D5&gt;0,1,-1)*(G5/F5-1)</f>
        <v/>
      </c>
    </row>
    <row r="6">
      <c r="A6" s="2" t="inlineStr">
        <is>
          <t>CMG</t>
        </is>
      </c>
      <c r="B6" s="2" t="inlineStr">
        <is>
          <t>CMG</t>
        </is>
      </c>
      <c r="C6" s="2" t="inlineStr">
        <is>
          <t>Short</t>
        </is>
      </c>
      <c r="D6" s="4" t="n">
        <v>-87</v>
      </c>
      <c r="E6" s="2" t="inlineStr">
        <is>
          <t>2026-10-22</t>
        </is>
      </c>
      <c r="F6" s="5" t="n">
        <v>28.07</v>
      </c>
      <c r="G6" s="5" t="n">
        <v>27.61</v>
      </c>
      <c r="H6" s="6">
        <f>D6*G6</f>
        <v/>
      </c>
      <c r="I6" s="3">
        <f>D6*(G6-F6)</f>
        <v/>
      </c>
      <c r="J6" s="7">
        <f>IF(D6&gt;0,1,-1)*(G6/F6-1)</f>
        <v/>
      </c>
    </row>
    <row r="7">
      <c r="A7" s="2" t="inlineStr">
        <is>
          <t>CRM</t>
        </is>
      </c>
      <c r="B7" s="2" t="inlineStr">
        <is>
          <t>CRM</t>
        </is>
      </c>
      <c r="C7" s="2" t="inlineStr">
        <is>
          <t>Short</t>
        </is>
      </c>
      <c r="D7" s="4" t="n">
        <v>-12</v>
      </c>
      <c r="E7" s="2" t="inlineStr">
        <is>
          <t>2026-10-22</t>
        </is>
      </c>
      <c r="F7" s="5" t="n">
        <v>250.35</v>
      </c>
      <c r="G7" s="5" t="n">
        <v>242.87</v>
      </c>
      <c r="H7" s="6">
        <f>D7*G7</f>
        <v/>
      </c>
      <c r="I7" s="3">
        <f>D7*(G7-F7)</f>
        <v/>
      </c>
      <c r="J7" s="7">
        <f>IF(D7&gt;0,1,-1)*(G7/F7-1)</f>
        <v/>
      </c>
    </row>
    <row r="8">
      <c r="A8" s="2" t="inlineStr">
        <is>
          <t>CSX</t>
        </is>
      </c>
      <c r="B8" s="2" t="inlineStr">
        <is>
          <t>CSX</t>
        </is>
      </c>
      <c r="C8" s="2" t="inlineStr">
        <is>
          <t>Long</t>
        </is>
      </c>
      <c r="D8" s="4" t="n">
        <v>114</v>
      </c>
      <c r="E8" s="2" t="inlineStr">
        <is>
          <t>2026-10-22</t>
        </is>
      </c>
      <c r="F8" s="5" t="n">
        <v>51.72</v>
      </c>
      <c r="G8" s="5" t="n">
        <v>51.05</v>
      </c>
      <c r="H8" s="6">
        <f>D8*G8</f>
        <v/>
      </c>
      <c r="I8" s="3">
        <f>D8*(G8-F8)</f>
        <v/>
      </c>
      <c r="J8" s="7">
        <f>IF(D8&gt;0,1,-1)*(G8/F8-1)</f>
        <v/>
      </c>
    </row>
    <row r="9">
      <c r="A9" s="2" t="inlineStr">
        <is>
          <t>HAS</t>
        </is>
      </c>
      <c r="B9" s="2" t="inlineStr">
        <is>
          <t>HAS</t>
        </is>
      </c>
      <c r="C9" s="2" t="inlineStr">
        <is>
          <t>Long</t>
        </is>
      </c>
      <c r="D9" s="4" t="n">
        <v>21</v>
      </c>
      <c r="E9" s="2" t="inlineStr">
        <is>
          <t>2026-10-22</t>
        </is>
      </c>
      <c r="F9" s="5" t="n">
        <v>117.22</v>
      </c>
      <c r="G9" s="5" t="n">
        <v>116.695</v>
      </c>
      <c r="H9" s="6">
        <f>D9*G9</f>
        <v/>
      </c>
      <c r="I9" s="3">
        <f>D9*(G9-F9)</f>
        <v/>
      </c>
      <c r="J9" s="7">
        <f>IF(D9&gt;0,1,-1)*(G9/F9-1)</f>
        <v/>
      </c>
    </row>
    <row r="10">
      <c r="A10" s="2" t="inlineStr">
        <is>
          <t>LRCX</t>
        </is>
      </c>
      <c r="B10" s="2" t="inlineStr">
        <is>
          <t>LRCX</t>
        </is>
      </c>
      <c r="C10" s="2" t="inlineStr">
        <is>
          <t>Short</t>
        </is>
      </c>
      <c r="D10" s="4" t="n">
        <v>-13</v>
      </c>
      <c r="E10" s="2" t="inlineStr">
        <is>
          <t>2026-10-22</t>
        </is>
      </c>
      <c r="F10" s="5" t="n">
        <v>230.03</v>
      </c>
      <c r="G10" s="5" t="n">
        <v>228.435</v>
      </c>
      <c r="H10" s="6">
        <f>D10*G10</f>
        <v/>
      </c>
      <c r="I10" s="3">
        <f>D10*(G10-F10)</f>
        <v/>
      </c>
      <c r="J10" s="7">
        <f>IF(D10&gt;0,1,-1)*(G10/F10-1)</f>
        <v/>
      </c>
    </row>
    <row r="11">
      <c r="A11" s="2" t="inlineStr">
        <is>
          <t>META</t>
        </is>
      </c>
      <c r="B11" s="2" t="inlineStr">
        <is>
          <t>META</t>
        </is>
      </c>
      <c r="C11" s="2" t="inlineStr">
        <is>
          <t>Long</t>
        </is>
      </c>
      <c r="D11" s="4" t="n">
        <v>7</v>
      </c>
      <c r="E11" s="2" t="inlineStr">
        <is>
          <t>2026-10-22</t>
        </is>
      </c>
      <c r="F11" s="5" t="n">
        <v>648.3942857142857</v>
      </c>
      <c r="G11" s="5" t="n">
        <v>643.27</v>
      </c>
      <c r="H11" s="6">
        <f>D11*G11</f>
        <v/>
      </c>
      <c r="I11" s="3">
        <f>D11*(G11-F11)</f>
        <v/>
      </c>
      <c r="J11" s="7">
        <f>IF(D11&gt;0,1,-1)*(G11/F11-1)</f>
        <v/>
      </c>
    </row>
    <row r="12">
      <c r="A12" s="2" t="inlineStr">
        <is>
          <t>MMM</t>
        </is>
      </c>
      <c r="B12" s="2" t="inlineStr">
        <is>
          <t>MMM</t>
        </is>
      </c>
      <c r="C12" s="2" t="inlineStr">
        <is>
          <t>Long</t>
        </is>
      </c>
      <c r="D12" s="4" t="n">
        <v>15</v>
      </c>
      <c r="E12" s="2" t="inlineStr">
        <is>
          <t>2026-10-22</t>
        </is>
      </c>
      <c r="F12" s="5" t="n">
        <v>175.868</v>
      </c>
      <c r="G12" s="5" t="n">
        <v>173.25</v>
      </c>
      <c r="H12" s="6">
        <f>D12*G12</f>
        <v/>
      </c>
      <c r="I12" s="3">
        <f>D12*(G12-F12)</f>
        <v/>
      </c>
      <c r="J12" s="7">
        <f>IF(D12&gt;0,1,-1)*(G12/F12-1)</f>
        <v/>
      </c>
    </row>
    <row r="13">
      <c r="A13" s="2" t="inlineStr">
        <is>
          <t>MRVL</t>
        </is>
      </c>
      <c r="B13" s="2" t="inlineStr">
        <is>
          <t>MRVL</t>
        </is>
      </c>
      <c r="C13" s="2" t="inlineStr">
        <is>
          <t>Long</t>
        </is>
      </c>
      <c r="D13" s="4" t="n">
        <v>35</v>
      </c>
      <c r="E13" s="2" t="inlineStr">
        <is>
          <t>2026-10-08</t>
        </is>
      </c>
      <c r="F13" s="5" t="n">
        <v>262.5911428571428</v>
      </c>
      <c r="G13" s="5" t="n">
        <v>226.91</v>
      </c>
      <c r="H13" s="6">
        <f>D13*G13</f>
        <v/>
      </c>
      <c r="I13" s="3">
        <f>D13*(G13-F13)</f>
        <v/>
      </c>
      <c r="J13" s="7">
        <f>IF(D13&gt;0,1,-1)*(G13/F13-1)</f>
        <v/>
      </c>
    </row>
    <row r="14">
      <c r="A14" s="2" t="inlineStr">
        <is>
          <t>MSFT</t>
        </is>
      </c>
      <c r="B14" s="2" t="inlineStr">
        <is>
          <t>MSFT</t>
        </is>
      </c>
      <c r="C14" s="2" t="inlineStr">
        <is>
          <t>Short</t>
        </is>
      </c>
      <c r="D14" s="4" t="n">
        <v>-5</v>
      </c>
      <c r="E14" s="2" t="inlineStr">
        <is>
          <t>2026-10-22</t>
        </is>
      </c>
      <c r="F14" s="5" t="n">
        <v>520.91</v>
      </c>
      <c r="G14" s="5" t="n">
        <v>517.02</v>
      </c>
      <c r="H14" s="6">
        <f>D14*G14</f>
        <v/>
      </c>
      <c r="I14" s="3">
        <f>D14*(G14-F14)</f>
        <v/>
      </c>
      <c r="J14" s="7">
        <f>IF(D14&gt;0,1,-1)*(G14/F14-1)</f>
        <v/>
      </c>
    </row>
    <row r="15">
      <c r="A15" s="2" t="inlineStr">
        <is>
          <t>NFLX</t>
        </is>
      </c>
      <c r="B15" s="2" t="inlineStr">
        <is>
          <t>NFLX</t>
        </is>
      </c>
      <c r="C15" s="2" t="inlineStr">
        <is>
          <t>Short</t>
        </is>
      </c>
      <c r="D15" s="4" t="n">
        <v>-42</v>
      </c>
      <c r="E15" s="2" t="inlineStr">
        <is>
          <t>2026-10-22</t>
        </is>
      </c>
      <c r="F15" s="5" t="n">
        <v>67.04000000000001</v>
      </c>
      <c r="G15" s="5" t="n">
        <v>67.175</v>
      </c>
      <c r="H15" s="6">
        <f>D15*G15</f>
        <v/>
      </c>
      <c r="I15" s="3">
        <f>D15*(G15-F15)</f>
        <v/>
      </c>
      <c r="J15" s="7">
        <f>IF(D15&gt;0,1,-1)*(G15/F15-1)</f>
        <v/>
      </c>
    </row>
    <row r="16">
      <c r="A16" s="2" t="inlineStr">
        <is>
          <t>NKE</t>
        </is>
      </c>
      <c r="B16" s="2" t="inlineStr">
        <is>
          <t>NKE</t>
        </is>
      </c>
      <c r="C16" s="2" t="inlineStr">
        <is>
          <t>Short</t>
        </is>
      </c>
      <c r="D16" s="4" t="n">
        <v>-256</v>
      </c>
      <c r="E16" s="2" t="inlineStr">
        <is>
          <t>2026-10-08</t>
        </is>
      </c>
      <c r="F16" s="5" t="n">
        <v>35.49667968750001</v>
      </c>
      <c r="G16" s="5" t="n">
        <v>37.87</v>
      </c>
      <c r="H16" s="6">
        <f>D16*G16</f>
        <v/>
      </c>
      <c r="I16" s="3">
        <f>D16*(G16-F16)</f>
        <v/>
      </c>
      <c r="J16" s="7">
        <f>IF(D16&gt;0,1,-1)*(G16/F16-1)</f>
        <v/>
      </c>
    </row>
    <row r="17">
      <c r="A17" s="2" t="inlineStr">
        <is>
          <t>ROL</t>
        </is>
      </c>
      <c r="B17" s="2" t="inlineStr">
        <is>
          <t>ROL</t>
        </is>
      </c>
      <c r="C17" s="2" t="inlineStr">
        <is>
          <t>Short</t>
        </is>
      </c>
      <c r="D17" s="4" t="n">
        <v>-199</v>
      </c>
      <c r="E17" s="2" t="inlineStr">
        <is>
          <t>2026-10-22</t>
        </is>
      </c>
      <c r="F17" s="5" t="n">
        <v>35.27999999999999</v>
      </c>
      <c r="G17" s="5" t="n">
        <v>35.175</v>
      </c>
      <c r="H17" s="6">
        <f>D17*G17</f>
        <v/>
      </c>
      <c r="I17" s="3">
        <f>D17*(G17-F17)</f>
        <v/>
      </c>
      <c r="J17" s="7">
        <f>IF(D17&gt;0,1,-1)*(G17/F17-1)</f>
        <v/>
      </c>
    </row>
    <row r="18">
      <c r="A18" s="2" t="inlineStr">
        <is>
          <t>SMCI</t>
        </is>
      </c>
      <c r="B18" s="2" t="inlineStr">
        <is>
          <t>SMCI</t>
        </is>
      </c>
      <c r="C18" s="2" t="inlineStr">
        <is>
          <t>Long</t>
        </is>
      </c>
      <c r="D18" s="4" t="n">
        <v>173</v>
      </c>
      <c r="E18" s="2" t="inlineStr">
        <is>
          <t>2026-10-22</t>
        </is>
      </c>
      <c r="F18" s="5" t="n">
        <v>33.72</v>
      </c>
      <c r="G18" s="5" t="n">
        <v>33.86</v>
      </c>
      <c r="H18" s="6">
        <f>D18*G18</f>
        <v/>
      </c>
      <c r="I18" s="3">
        <f>D18*(G18-F18)</f>
        <v/>
      </c>
      <c r="J18" s="7">
        <f>IF(D18&gt;0,1,-1)*(G18/F18-1)</f>
        <v/>
      </c>
    </row>
    <row r="19">
      <c r="A19" s="2" t="inlineStr">
        <is>
          <t>SPY</t>
        </is>
      </c>
      <c r="B19" s="2" t="inlineStr">
        <is>
          <t>SPDR S&amp;P 500 ETF</t>
        </is>
      </c>
      <c r="C19" s="2" t="inlineStr">
        <is>
          <t>Short</t>
        </is>
      </c>
      <c r="D19" s="4" t="n">
        <v>-22</v>
      </c>
      <c r="E19" s="2" t="inlineStr">
        <is>
          <t>2026-10-21</t>
        </is>
      </c>
      <c r="F19" s="5" t="n">
        <v>768.7913636363636</v>
      </c>
      <c r="G19" s="5" t="n">
        <v>760.6508</v>
      </c>
      <c r="H19" s="6">
        <f>D19*G19</f>
        <v/>
      </c>
      <c r="I19" s="3">
        <f>D19*(G19-F19)</f>
        <v/>
      </c>
      <c r="J19" s="7">
        <f>IF(D19&gt;0,1,-1)*(G19/F19-1)</f>
        <v/>
      </c>
    </row>
    <row r="20">
      <c r="A20" s="2" t="inlineStr">
        <is>
          <t>TSLA</t>
        </is>
      </c>
      <c r="B20" s="2" t="inlineStr">
        <is>
          <t>TSLA</t>
        </is>
      </c>
      <c r="C20" s="2" t="inlineStr">
        <is>
          <t>Long</t>
        </is>
      </c>
      <c r="D20" s="4" t="n">
        <v>13</v>
      </c>
      <c r="E20" s="2" t="inlineStr">
        <is>
          <t>2026-10-22</t>
        </is>
      </c>
      <c r="F20" s="5" t="n">
        <v>375.053076923077</v>
      </c>
      <c r="G20" s="5" t="n">
        <v>371.3</v>
      </c>
      <c r="H20" s="6">
        <f>D20*G20</f>
        <v/>
      </c>
      <c r="I20" s="3">
        <f>D20*(G20-F20)</f>
        <v/>
      </c>
      <c r="J20" s="7">
        <f>IF(D20&gt;0,1,-1)*(G20/F20-1)</f>
        <v/>
      </c>
    </row>
    <row r="21">
      <c r="A21" s="2" t="inlineStr">
        <is>
          <t>WMT</t>
        </is>
      </c>
      <c r="B21" s="2" t="inlineStr">
        <is>
          <t>WMT</t>
        </is>
      </c>
      <c r="C21" s="2" t="inlineStr">
        <is>
          <t>Long</t>
        </is>
      </c>
      <c r="D21" s="4" t="n">
        <v>24</v>
      </c>
      <c r="E21" s="2" t="inlineStr">
        <is>
          <t>2026-10-22</t>
        </is>
      </c>
      <c r="F21" s="5" t="n">
        <v>121.07</v>
      </c>
      <c r="G21" s="5" t="n">
        <v>121.02</v>
      </c>
      <c r="H21" s="6">
        <f>D21*G21</f>
        <v/>
      </c>
      <c r="I21" s="3">
        <f>D21*(G21-F21)</f>
        <v/>
      </c>
      <c r="J21" s="7">
        <f>IF(D21&gt;0,1,-1)*(G21/F21-1)</f>
        <v/>
      </c>
    </row>
    <row r="22">
      <c r="A22" s="2" t="inlineStr">
        <is>
          <t>XOM</t>
        </is>
      </c>
      <c r="B22" s="2" t="inlineStr">
        <is>
          <t>XOM</t>
        </is>
      </c>
      <c r="C22" s="2" t="inlineStr">
        <is>
          <t>Long</t>
        </is>
      </c>
      <c r="D22" s="4" t="n">
        <v>14</v>
      </c>
      <c r="E22" s="2" t="inlineStr">
        <is>
          <t>2026-10-22</t>
        </is>
      </c>
      <c r="F22" s="5" t="n">
        <v>177.92</v>
      </c>
      <c r="G22" s="5" t="n">
        <v>180.97</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sheetData>
  <autoFilter ref="A1:H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760.35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818.965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880.76</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880.76</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67.175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546.8099999999999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100.76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138.555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760.35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760.35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760.35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760.35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514.64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514.64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323.76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323.76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323.76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183.995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253.135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322.66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55.74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768.58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1286.01</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226.71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212.44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212.44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546.8099999999999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100.76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249.105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643.29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37.89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136.93</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136.93</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1289.105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1289.105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641.95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323.77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183.995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546.8099999999999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253.135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322.66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768.58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1286.01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100.76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249.195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643.38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136.93</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1289.105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760.35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641.95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354.69</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33.85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320.8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517.01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67.175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212.575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72.83</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125.31</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371.52</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514.64</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50.71</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243.19</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76.575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55.8</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332.46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25.005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167.255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Open</t>
        </is>
      </c>
      <c r="G70" s="2" t="inlineStr">
        <is>
          <t>2026-10-22</t>
        </is>
      </c>
      <c r="H70" s="2" t="inlineStr"/>
      <c r="I70" s="4" t="n">
        <v>-5</v>
      </c>
      <c r="J70" s="5" t="n">
        <v>507.3559999999999</v>
      </c>
      <c r="K70" s="5" t="n"/>
      <c r="L70" s="5" t="n">
        <v>514.64</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AVGO</t>
        </is>
      </c>
      <c r="C71" s="2" t="inlineStr">
        <is>
          <t>AVGO</t>
        </is>
      </c>
      <c r="D71" s="2" t="inlineStr">
        <is>
          <t>position (lifecycle)</t>
        </is>
      </c>
      <c r="E71" s="2" t="inlineStr">
        <is>
          <t>Short</t>
        </is>
      </c>
      <c r="F71" s="2" t="inlineStr">
        <is>
          <t>Open</t>
        </is>
      </c>
      <c r="G71" s="2" t="inlineStr">
        <is>
          <t>2026-10-22</t>
        </is>
      </c>
      <c r="H71" s="2" t="inlineStr"/>
      <c r="I71" s="4" t="n">
        <v>-7</v>
      </c>
      <c r="J71" s="5" t="n">
        <v>323.371428</v>
      </c>
      <c r="K71" s="5" t="n"/>
      <c r="L71" s="5" t="n">
        <v>323.77</v>
      </c>
      <c r="M71" s="7">
        <f>IFERROR(IF(E71="Short",-1,1)*(IF(K71&lt;&gt;"",K71,L71)/J71-1),"")</f>
        <v/>
      </c>
      <c r="N71" s="6">
        <f>IFERROR(I71*(IF(K71&lt;&gt;"",K71,L71)-J71),"")</f>
        <v/>
      </c>
      <c r="O71" s="8" t="n">
        <v>0.45</v>
      </c>
      <c r="P71" s="2" t="n"/>
      <c r="Q71"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2">
      <c r="A72" s="2" t="inlineStr">
        <is>
          <t>2026-10-21</t>
        </is>
      </c>
      <c r="B72" s="2" t="inlineStr">
        <is>
          <t>BA</t>
        </is>
      </c>
      <c r="C72" s="2" t="inlineStr">
        <is>
          <t>BA</t>
        </is>
      </c>
      <c r="D72" s="2" t="inlineStr">
        <is>
          <t>position (lifecycle)</t>
        </is>
      </c>
      <c r="E72" s="2" t="inlineStr">
        <is>
          <t>Long</t>
        </is>
      </c>
      <c r="F72" s="2" t="inlineStr">
        <is>
          <t>Open</t>
        </is>
      </c>
      <c r="G72" s="2" t="inlineStr">
        <is>
          <t>2026-10-22</t>
        </is>
      </c>
      <c r="H72" s="2" t="inlineStr"/>
      <c r="I72" s="4" t="n">
        <v>13</v>
      </c>
      <c r="J72" s="5" t="n">
        <v>187.465385</v>
      </c>
      <c r="K72" s="5" t="n"/>
      <c r="L72" s="5" t="n">
        <v>183.995</v>
      </c>
      <c r="M72" s="7">
        <f>IFERROR(IF(E72="Short",-1,1)*(IF(K72&lt;&gt;"",K72,L72)/J72-1),"")</f>
        <v/>
      </c>
      <c r="N72" s="6">
        <f>IFERROR(I72*(IF(K72&lt;&gt;"",K72,L72)-J72),"")</f>
        <v/>
      </c>
      <c r="O72" s="8" t="n">
        <v>0.55</v>
      </c>
      <c r="P72" s="2" t="n"/>
      <c r="Q72"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3">
      <c r="A73" s="2" t="inlineStr">
        <is>
          <t>2026-10-21</t>
        </is>
      </c>
      <c r="B73" s="2" t="inlineStr">
        <is>
          <t>META</t>
        </is>
      </c>
      <c r="C73" s="2" t="inlineStr">
        <is>
          <t>META</t>
        </is>
      </c>
      <c r="D73" s="2" t="inlineStr">
        <is>
          <t>position (lifecycle)</t>
        </is>
      </c>
      <c r="E73" s="2" t="inlineStr">
        <is>
          <t>Long</t>
        </is>
      </c>
      <c r="F73" s="2" t="inlineStr">
        <is>
          <t>Open</t>
        </is>
      </c>
      <c r="G73" s="2" t="inlineStr">
        <is>
          <t>2026-10-22</t>
        </is>
      </c>
      <c r="H73" s="2" t="inlineStr"/>
      <c r="I73" s="4" t="n">
        <v>7</v>
      </c>
      <c r="J73" s="5" t="n">
        <v>648.394286</v>
      </c>
      <c r="K73" s="5" t="n"/>
      <c r="L73" s="5" t="n">
        <v>643.38</v>
      </c>
      <c r="M73" s="7">
        <f>IFERROR(IF(E73="Short",-1,1)*(IF(K73&lt;&gt;"",K73,L73)/J73-1),"")</f>
        <v/>
      </c>
      <c r="N73" s="6">
        <f>IFERROR(I73*(IF(K73&lt;&gt;"",K73,L73)-J73),"")</f>
        <v/>
      </c>
      <c r="O73" s="8" t="n">
        <v>0.5</v>
      </c>
      <c r="P73" s="2" t="n"/>
      <c r="Q73"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226.71</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37.885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-22</v>
      </c>
      <c r="J76" s="5" t="n">
        <v>768.7913632727273</v>
      </c>
      <c r="K76" s="5" t="n"/>
      <c r="L76" s="5" t="n">
        <v>760.35</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-12</v>
      </c>
      <c r="J77" s="5" t="n">
        <v>250.35</v>
      </c>
      <c r="K77" s="5" t="n"/>
      <c r="L77" s="5" t="n">
        <v>243.19</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517.01</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67.175</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173</v>
      </c>
      <c r="J80" s="5" t="n">
        <v>33.72</v>
      </c>
      <c r="K80" s="5" t="n"/>
      <c r="L80" s="5" t="n">
        <v>33.85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13</v>
      </c>
      <c r="J81" s="5" t="n">
        <v>375.053077</v>
      </c>
      <c r="K81" s="5" t="n"/>
      <c r="L81" s="5" t="n">
        <v>371.52</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348.89</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-87</v>
      </c>
      <c r="J83" s="5" t="n">
        <v>28.07</v>
      </c>
      <c r="K83" s="5" t="n"/>
      <c r="L83" s="5" t="n">
        <v>27.605</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114</v>
      </c>
      <c r="J84" s="5" t="n">
        <v>51.72</v>
      </c>
      <c r="K84" s="5" t="n"/>
      <c r="L84" s="5" t="n">
        <v>51.04</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116.695</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228.515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173.04</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-199</v>
      </c>
      <c r="J88" s="5" t="n">
        <v>35.28</v>
      </c>
      <c r="K88" s="5" t="n"/>
      <c r="L88" s="5" t="n">
        <v>35.175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121.04</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180.98</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sheetData>
  <autoFilter ref="A1:O13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60648.56579808403</v>
      </c>
      <c r="D16" s="7">
        <f>IF(C15&gt;0,(B16-B15)/C15,"")</f>
        <v/>
      </c>
      <c r="E16" s="3">
        <f>B16-$B$2</f>
        <v/>
      </c>
      <c r="F16" s="7">
        <f>IF(C16&gt;0,E16/C16,"")</f>
        <v/>
      </c>
    </row>
    <row r="17">
      <c r="A17" s="2" t="inlineStr">
        <is>
          <t>2026-10-22</t>
        </is>
      </c>
      <c r="B17" s="12" t="n">
        <v>98528.21000000001</v>
      </c>
      <c r="C17" s="12" t="n">
        <v>97127.8099942207</v>
      </c>
      <c r="D17" s="7">
        <f>IF(C16&gt;0,(B17-B16)/C16,"")</f>
        <v/>
      </c>
      <c r="E17" s="3">
        <f>B17-$B$2</f>
        <v/>
      </c>
      <c r="F17" s="7">
        <f>IF(C17&gt;0,E17/C17,"")</f>
        <v/>
      </c>
    </row>
  </sheetData>
  <autoFilter ref="A1:F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sheetData>
  <autoFilter ref="A1:F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2026-10-23T13:45:23Z</dcterms:created>
  <dcterms:modified xmlns:dcterms="http://purl.org/dc/terms/" xmlns:xsi="http://www.w3.org/2001/XMLSchema-instance" xsi:type="dcterms:W3CDTF">2026-10-23T13:45:29Z</dcterms:modified>
</cp:coreProperties>
</file>