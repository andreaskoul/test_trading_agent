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positions'!$A$1:$J$21</definedName>
    <definedName name="_xlnm._FilterDatabase" localSheetId="2" hidden="1">'Realized trades'!$A$1:$H$15</definedName>
    <definedName name="_xlnm._FilterDatabase" localSheetId="3" hidden="1">'Positions'!$A$1:$Q$38</definedName>
    <definedName name="_xlnm._FilterDatabase" localSheetId="4" hidden="1">'Orders'!$A$1:$O$55</definedName>
    <definedName name="_xlnm._FilterDatabase" localSheetId="5" hidden="1">'Account'!$A$1:$F$11</definedName>
    <definedName name="_xlnm._FilterDatabase" localSheetId="6" hidden="1">'Cash activity'!$A$1:$F$12</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2026-10-15 13:16 ET)</t>
        </is>
      </c>
      <c r="B2" s="3" t="n">
        <v>98087.7409</v>
      </c>
    </row>
    <row r="3">
      <c r="A3" s="2" t="inlineStr">
        <is>
          <t>Net deposits</t>
        </is>
      </c>
      <c r="B3" s="3" t="n">
        <v>100000</v>
      </c>
    </row>
    <row r="4">
      <c r="A4" s="2" t="inlineStr">
        <is>
          <t>Account P&amp;L</t>
        </is>
      </c>
      <c r="B4" s="3">
        <f>B2-B3</f>
        <v/>
      </c>
    </row>
    <row r="5">
      <c r="A5" s="2" t="inlineStr">
        <is>
          <t>Realized P&amp;L (closed shares, FIFO)</t>
        </is>
      </c>
      <c r="B5" s="3" t="n">
        <v>-86.23999999999899</v>
      </c>
    </row>
    <row r="6">
      <c r="A6" s="2" t="inlineStr">
        <is>
          <t>Unrealized P&amp;L (open shares at Alpaca marks)</t>
        </is>
      </c>
      <c r="B6" s="3" t="n">
        <v>-1824.639100000001</v>
      </c>
    </row>
    <row r="7">
      <c r="A7" s="2" t="inlineStr">
        <is>
          <t>Dividends, fees &amp; interest</t>
        </is>
      </c>
      <c r="B7" s="3" t="n">
        <v>-1.38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Advanced Micro Devices</t>
        </is>
      </c>
      <c r="C2" s="2" t="inlineStr">
        <is>
          <t>Long</t>
        </is>
      </c>
      <c r="D2" s="4" t="n">
        <v>2</v>
      </c>
      <c r="E2" s="2" t="inlineStr">
        <is>
          <t>2026-10-08</t>
        </is>
      </c>
      <c r="F2" s="5" t="n">
        <v>621.12</v>
      </c>
      <c r="G2" s="5" t="n">
        <v>546.355</v>
      </c>
      <c r="H2" s="6">
        <f>D2*G2</f>
        <v/>
      </c>
      <c r="I2" s="3">
        <f>D2*(G2-F2)</f>
        <v/>
      </c>
      <c r="J2" s="7">
        <f>IF(D2&gt;0,1,-1)*(G2/F2-1)</f>
        <v/>
      </c>
    </row>
    <row r="3">
      <c r="A3" s="2" t="inlineStr">
        <is>
          <t>AVGO</t>
        </is>
      </c>
      <c r="B3" s="2" t="inlineStr">
        <is>
          <t>Broadcom</t>
        </is>
      </c>
      <c r="C3" s="2" t="inlineStr">
        <is>
          <t>Long</t>
        </is>
      </c>
      <c r="D3" s="4" t="n">
        <v>2</v>
      </c>
      <c r="E3" s="2" t="inlineStr">
        <is>
          <t>2026-10-08</t>
        </is>
      </c>
      <c r="F3" s="5" t="n">
        <v>360.345</v>
      </c>
      <c r="G3" s="5" t="n">
        <v>338.715</v>
      </c>
      <c r="H3" s="6">
        <f>D3*G3</f>
        <v/>
      </c>
      <c r="I3" s="3">
        <f>D3*(G3-F3)</f>
        <v/>
      </c>
      <c r="J3" s="7">
        <f>IF(D3&gt;0,1,-1)*(G3/F3-1)</f>
        <v/>
      </c>
    </row>
    <row r="4">
      <c r="A4" s="2" t="inlineStr">
        <is>
          <t>BA</t>
        </is>
      </c>
      <c r="B4" s="2" t="inlineStr">
        <is>
          <t>Boeing</t>
        </is>
      </c>
      <c r="C4" s="2" t="inlineStr">
        <is>
          <t>Long</t>
        </is>
      </c>
      <c r="D4" s="4" t="n">
        <v>33</v>
      </c>
      <c r="E4" s="2" t="inlineStr">
        <is>
          <t>2026-10-08</t>
        </is>
      </c>
      <c r="F4" s="5" t="n">
        <v>187.69</v>
      </c>
      <c r="G4" s="5" t="n">
        <v>186.615</v>
      </c>
      <c r="H4" s="6">
        <f>D4*G4</f>
        <v/>
      </c>
      <c r="I4" s="3">
        <f>D4*(G4-F4)</f>
        <v/>
      </c>
      <c r="J4" s="7">
        <f>IF(D4&gt;0,1,-1)*(G4/F4-1)</f>
        <v/>
      </c>
    </row>
    <row r="5">
      <c r="A5" s="2" t="inlineStr">
        <is>
          <t>BRK.B</t>
        </is>
      </c>
      <c r="B5" s="2" t="inlineStr">
        <is>
          <t>Berkshire Hathaway</t>
        </is>
      </c>
      <c r="C5" s="2" t="inlineStr">
        <is>
          <t>Short</t>
        </is>
      </c>
      <c r="D5" s="4" t="n">
        <v>-4</v>
      </c>
      <c r="E5" s="2" t="inlineStr">
        <is>
          <t>2026-10-01</t>
        </is>
      </c>
      <c r="F5" s="5" t="n">
        <v>500.56</v>
      </c>
      <c r="G5" s="5" t="n">
        <v>528.405</v>
      </c>
      <c r="H5" s="6">
        <f>D5*G5</f>
        <v/>
      </c>
      <c r="I5" s="3">
        <f>D5*(G5-F5)</f>
        <v/>
      </c>
      <c r="J5" s="7">
        <f>IF(D5&gt;0,1,-1)*(G5/F5-1)</f>
        <v/>
      </c>
    </row>
    <row r="6">
      <c r="A6" s="2" t="inlineStr">
        <is>
          <t>CEG</t>
        </is>
      </c>
      <c r="B6" s="2" t="inlineStr">
        <is>
          <t>Constellation Energy</t>
        </is>
      </c>
      <c r="C6" s="2" t="inlineStr">
        <is>
          <t>Long</t>
        </is>
      </c>
      <c r="D6" s="4" t="n">
        <v>10</v>
      </c>
      <c r="E6" s="2" t="inlineStr">
        <is>
          <t>2026-10-08</t>
        </is>
      </c>
      <c r="F6" s="5" t="n">
        <v>285.07</v>
      </c>
      <c r="G6" s="5" t="n">
        <v>274.24</v>
      </c>
      <c r="H6" s="6">
        <f>D6*G6</f>
        <v/>
      </c>
      <c r="I6" s="3">
        <f>D6*(G6-F6)</f>
        <v/>
      </c>
      <c r="J6" s="7">
        <f>IF(D6&gt;0,1,-1)*(G6/F6-1)</f>
        <v/>
      </c>
    </row>
    <row r="7">
      <c r="A7" s="2" t="inlineStr">
        <is>
          <t>GOOGL</t>
        </is>
      </c>
      <c r="B7" s="2" t="inlineStr">
        <is>
          <t>Alphabet Inc. (Class A)</t>
        </is>
      </c>
      <c r="C7" s="2" t="inlineStr">
        <is>
          <t>Long</t>
        </is>
      </c>
      <c r="D7" s="4" t="n">
        <v>9</v>
      </c>
      <c r="E7" s="2" t="inlineStr">
        <is>
          <t>2026-10-08</t>
        </is>
      </c>
      <c r="F7" s="5" t="n">
        <v>348.4111111111112</v>
      </c>
      <c r="G7" s="5" t="n">
        <v>348.08</v>
      </c>
      <c r="H7" s="6">
        <f>D7*G7</f>
        <v/>
      </c>
      <c r="I7" s="3">
        <f>D7*(G7-F7)</f>
        <v/>
      </c>
      <c r="J7" s="7">
        <f>IF(D7&gt;0,1,-1)*(G7/F7-1)</f>
        <v/>
      </c>
    </row>
    <row r="8">
      <c r="A8" s="2" t="inlineStr">
        <is>
          <t>HPE</t>
        </is>
      </c>
      <c r="B8" s="2" t="inlineStr">
        <is>
          <t>Hewlett Packard Enterprise</t>
        </is>
      </c>
      <c r="C8" s="2" t="inlineStr">
        <is>
          <t>Long</t>
        </is>
      </c>
      <c r="D8" s="4" t="n">
        <v>40</v>
      </c>
      <c r="E8" s="2" t="inlineStr">
        <is>
          <t>2026-10-08</t>
        </is>
      </c>
      <c r="F8" s="5" t="n">
        <v>70.92</v>
      </c>
      <c r="G8" s="5" t="n">
        <v>58.99</v>
      </c>
      <c r="H8" s="6">
        <f>D8*G8</f>
        <v/>
      </c>
      <c r="I8" s="3">
        <f>D8*(G8-F8)</f>
        <v/>
      </c>
      <c r="J8" s="7">
        <f>IF(D8&gt;0,1,-1)*(G8/F8-1)</f>
        <v/>
      </c>
    </row>
    <row r="9">
      <c r="A9" s="2" t="inlineStr">
        <is>
          <t>LITE</t>
        </is>
      </c>
      <c r="B9" s="2" t="inlineStr">
        <is>
          <t>Lumentum</t>
        </is>
      </c>
      <c r="C9" s="2" t="inlineStr">
        <is>
          <t>Long</t>
        </is>
      </c>
      <c r="D9" s="4" t="n">
        <v>3</v>
      </c>
      <c r="E9" s="2" t="inlineStr">
        <is>
          <t>2026-10-08</t>
        </is>
      </c>
      <c r="F9" s="5" t="n">
        <v>1050.046666666667</v>
      </c>
      <c r="G9" s="5" t="n">
        <v>845.96</v>
      </c>
      <c r="H9" s="6">
        <f>D9*G9</f>
        <v/>
      </c>
      <c r="I9" s="3">
        <f>D9*(G9-F9)</f>
        <v/>
      </c>
      <c r="J9" s="7">
        <f>IF(D9&gt;0,1,-1)*(G9/F9-1)</f>
        <v/>
      </c>
    </row>
    <row r="10">
      <c r="A10" s="2" t="inlineStr">
        <is>
          <t>LLY</t>
        </is>
      </c>
      <c r="B10" s="2" t="inlineStr">
        <is>
          <t>Lilly (Eli)</t>
        </is>
      </c>
      <c r="C10" s="2" t="inlineStr">
        <is>
          <t>Long</t>
        </is>
      </c>
      <c r="D10" s="4" t="n">
        <v>2</v>
      </c>
      <c r="E10" s="2" t="inlineStr">
        <is>
          <t>2026-10-08</t>
        </is>
      </c>
      <c r="F10" s="5" t="n">
        <v>1170.25</v>
      </c>
      <c r="G10" s="5" t="n">
        <v>1266.56</v>
      </c>
      <c r="H10" s="6">
        <f>D10*G10</f>
        <v/>
      </c>
      <c r="I10" s="3">
        <f>D10*(G10-F10)</f>
        <v/>
      </c>
      <c r="J10" s="7">
        <f>IF(D10&gt;0,1,-1)*(G10/F10-1)</f>
        <v/>
      </c>
    </row>
    <row r="11">
      <c r="A11" s="2" t="inlineStr">
        <is>
          <t>LULU</t>
        </is>
      </c>
      <c r="B11" s="2" t="inlineStr">
        <is>
          <t>Lululemon Athletica</t>
        </is>
      </c>
      <c r="C11" s="2" t="inlineStr">
        <is>
          <t>Short</t>
        </is>
      </c>
      <c r="D11" s="4" t="n">
        <v>-32</v>
      </c>
      <c r="E11" s="2" t="inlineStr">
        <is>
          <t>2026-10-01</t>
        </is>
      </c>
      <c r="F11" s="5" t="n">
        <v>95.37625</v>
      </c>
      <c r="G11" s="5" t="n">
        <v>98.81999999999999</v>
      </c>
      <c r="H11" s="6">
        <f>D11*G11</f>
        <v/>
      </c>
      <c r="I11" s="3">
        <f>D11*(G11-F11)</f>
        <v/>
      </c>
      <c r="J11" s="7">
        <f>IF(D11&gt;0,1,-1)*(G11/F11-1)</f>
        <v/>
      </c>
    </row>
    <row r="12">
      <c r="A12" s="2" t="inlineStr">
        <is>
          <t>MCD</t>
        </is>
      </c>
      <c r="B12" s="2" t="inlineStr">
        <is>
          <t>McDonald's</t>
        </is>
      </c>
      <c r="C12" s="2" t="inlineStr">
        <is>
          <t>Short</t>
        </is>
      </c>
      <c r="D12" s="4" t="n">
        <v>-13</v>
      </c>
      <c r="E12" s="2" t="inlineStr">
        <is>
          <t>2026-10-08</t>
        </is>
      </c>
      <c r="F12" s="5" t="n">
        <v>236.64</v>
      </c>
      <c r="G12" s="5" t="n">
        <v>243.21</v>
      </c>
      <c r="H12" s="6">
        <f>D12*G12</f>
        <v/>
      </c>
      <c r="I12" s="3">
        <f>D12*(G12-F12)</f>
        <v/>
      </c>
      <c r="J12" s="7">
        <f>IF(D12&gt;0,1,-1)*(G12/F12-1)</f>
        <v/>
      </c>
    </row>
    <row r="13">
      <c r="A13" s="2" t="inlineStr">
        <is>
          <t>META</t>
        </is>
      </c>
      <c r="B13" s="2" t="inlineStr">
        <is>
          <t>Meta Platforms</t>
        </is>
      </c>
      <c r="C13" s="2" t="inlineStr">
        <is>
          <t>Short</t>
        </is>
      </c>
      <c r="D13" s="4" t="n">
        <v>-4</v>
      </c>
      <c r="E13" s="2" t="inlineStr">
        <is>
          <t>2026-10-08</t>
        </is>
      </c>
      <c r="F13" s="5" t="n">
        <v>720.8100000000001</v>
      </c>
      <c r="G13" s="5" t="n">
        <v>733.01</v>
      </c>
      <c r="H13" s="6">
        <f>D13*G13</f>
        <v/>
      </c>
      <c r="I13" s="3">
        <f>D13*(G13-F13)</f>
        <v/>
      </c>
      <c r="J13" s="7">
        <f>IF(D13&gt;0,1,-1)*(G13/F13-1)</f>
        <v/>
      </c>
    </row>
    <row r="14">
      <c r="A14" s="2" t="inlineStr">
        <is>
          <t>MRVL</t>
        </is>
      </c>
      <c r="B14" s="2" t="inlineStr">
        <is>
          <t>Marvell Technology</t>
        </is>
      </c>
      <c r="C14" s="2" t="inlineStr">
        <is>
          <t>Long</t>
        </is>
      </c>
      <c r="D14" s="4" t="n">
        <v>23</v>
      </c>
      <c r="E14" s="2" t="inlineStr">
        <is>
          <t>2026-10-08</t>
        </is>
      </c>
      <c r="F14" s="5" t="n">
        <v>274.6186956521739</v>
      </c>
      <c r="G14" s="5" t="n">
        <v>235.14</v>
      </c>
      <c r="H14" s="6">
        <f>D14*G14</f>
        <v/>
      </c>
      <c r="I14" s="3">
        <f>D14*(G14-F14)</f>
        <v/>
      </c>
      <c r="J14" s="7">
        <f>IF(D14&gt;0,1,-1)*(G14/F14-1)</f>
        <v/>
      </c>
    </row>
    <row r="15">
      <c r="A15" s="2" t="inlineStr">
        <is>
          <t>NKE</t>
        </is>
      </c>
      <c r="B15" s="2" t="inlineStr">
        <is>
          <t>Nike, Inc.</t>
        </is>
      </c>
      <c r="C15" s="2" t="inlineStr">
        <is>
          <t>Short</t>
        </is>
      </c>
      <c r="D15" s="4" t="n">
        <v>-187</v>
      </c>
      <c r="E15" s="2" t="inlineStr">
        <is>
          <t>2026-10-08</t>
        </is>
      </c>
      <c r="F15" s="5" t="n">
        <v>34.76117647058824</v>
      </c>
      <c r="G15" s="5" t="n">
        <v>37.275</v>
      </c>
      <c r="H15" s="6">
        <f>D15*G15</f>
        <v/>
      </c>
      <c r="I15" s="3">
        <f>D15*(G15-F15)</f>
        <v/>
      </c>
      <c r="J15" s="7">
        <f>IF(D15&gt;0,1,-1)*(G15/F15-1)</f>
        <v/>
      </c>
    </row>
    <row r="16">
      <c r="A16" s="2" t="inlineStr">
        <is>
          <t>NVDA</t>
        </is>
      </c>
      <c r="B16" s="2" t="inlineStr">
        <is>
          <t>Nvidia</t>
        </is>
      </c>
      <c r="C16" s="2" t="inlineStr">
        <is>
          <t>Long</t>
        </is>
      </c>
      <c r="D16" s="4" t="n">
        <v>7</v>
      </c>
      <c r="E16" s="2" t="inlineStr">
        <is>
          <t>2026-10-08</t>
        </is>
      </c>
      <c r="F16" s="5" t="n">
        <v>230.4985714285714</v>
      </c>
      <c r="G16" s="5" t="n">
        <v>217.2</v>
      </c>
      <c r="H16" s="6">
        <f>D16*G16</f>
        <v/>
      </c>
      <c r="I16" s="3">
        <f>D16*(G16-F16)</f>
        <v/>
      </c>
      <c r="J16" s="7">
        <f>IF(D16&gt;0,1,-1)*(G16/F16-1)</f>
        <v/>
      </c>
    </row>
    <row r="17">
      <c r="A17" s="2" t="inlineStr">
        <is>
          <t>PEP</t>
        </is>
      </c>
      <c r="B17" s="2" t="inlineStr">
        <is>
          <t>PepsiCo</t>
        </is>
      </c>
      <c r="C17" s="2" t="inlineStr">
        <is>
          <t>Short</t>
        </is>
      </c>
      <c r="D17" s="4" t="n">
        <v>-8</v>
      </c>
      <c r="E17" s="2" t="inlineStr">
        <is>
          <t>2026-10-08</t>
        </is>
      </c>
      <c r="F17" s="5" t="n">
        <v>128.19</v>
      </c>
      <c r="G17" s="5" t="n">
        <v>130.505</v>
      </c>
      <c r="H17" s="6">
        <f>D17*G17</f>
        <v/>
      </c>
      <c r="I17" s="3">
        <f>D17*(G17-F17)</f>
        <v/>
      </c>
      <c r="J17" s="7">
        <f>IF(D17&gt;0,1,-1)*(G17/F17-1)</f>
        <v/>
      </c>
    </row>
    <row r="18">
      <c r="A18" s="2" t="inlineStr">
        <is>
          <t>SNDK</t>
        </is>
      </c>
      <c r="B18" s="2" t="inlineStr">
        <is>
          <t>Sandisk</t>
        </is>
      </c>
      <c r="C18" s="2" t="inlineStr">
        <is>
          <t>Short</t>
        </is>
      </c>
      <c r="D18" s="4" t="n">
        <v>-2</v>
      </c>
      <c r="E18" s="2" t="inlineStr">
        <is>
          <t>2026-10-08</t>
        </is>
      </c>
      <c r="F18" s="5" t="n">
        <v>1595.61</v>
      </c>
      <c r="G18" s="5" t="n">
        <v>1344.99</v>
      </c>
      <c r="H18" s="6">
        <f>D18*G18</f>
        <v/>
      </c>
      <c r="I18" s="3">
        <f>D18*(G18-F18)</f>
        <v/>
      </c>
      <c r="J18" s="7">
        <f>IF(D18&gt;0,1,-1)*(G18/F18-1)</f>
        <v/>
      </c>
    </row>
    <row r="19">
      <c r="A19" s="2" t="inlineStr">
        <is>
          <t>SPY</t>
        </is>
      </c>
      <c r="B19" s="2" t="inlineStr">
        <is>
          <t>SPDR S&amp;P 500 ETF</t>
        </is>
      </c>
      <c r="C19" s="2" t="inlineStr">
        <is>
          <t>Short</t>
        </is>
      </c>
      <c r="D19" s="4" t="n">
        <v>-15</v>
      </c>
      <c r="E19" s="2" t="inlineStr">
        <is>
          <t>2026-10-08</t>
        </is>
      </c>
      <c r="F19" s="5" t="n">
        <v>773.95</v>
      </c>
      <c r="G19" s="5" t="n">
        <v>769.58</v>
      </c>
      <c r="H19" s="6">
        <f>D19*G19</f>
        <v/>
      </c>
      <c r="I19" s="3">
        <f>D19*(G19-F19)</f>
        <v/>
      </c>
      <c r="J19" s="7">
        <f>IF(D19&gt;0,1,-1)*(G19/F19-1)</f>
        <v/>
      </c>
    </row>
    <row r="20">
      <c r="A20" s="2" t="inlineStr">
        <is>
          <t>STX</t>
        </is>
      </c>
      <c r="B20" s="2" t="inlineStr">
        <is>
          <t>Seagate Technology</t>
        </is>
      </c>
      <c r="C20" s="2" t="inlineStr">
        <is>
          <t>Short</t>
        </is>
      </c>
      <c r="D20" s="4" t="n">
        <v>-3</v>
      </c>
      <c r="E20" s="2" t="inlineStr">
        <is>
          <t>2026-10-08</t>
        </is>
      </c>
      <c r="F20" s="5" t="n">
        <v>775.35</v>
      </c>
      <c r="G20" s="5" t="n">
        <v>673.3597</v>
      </c>
      <c r="H20" s="6">
        <f>D20*G20</f>
        <v/>
      </c>
      <c r="I20" s="3">
        <f>D20*(G20-F20)</f>
        <v/>
      </c>
      <c r="J20" s="7">
        <f>IF(D20&gt;0,1,-1)*(G20/F20-1)</f>
        <v/>
      </c>
    </row>
    <row r="21">
      <c r="A21" s="2" t="inlineStr">
        <is>
          <t>WDC</t>
        </is>
      </c>
      <c r="B21" s="2" t="inlineStr">
        <is>
          <t>Western Digital</t>
        </is>
      </c>
      <c r="C21" s="2" t="inlineStr">
        <is>
          <t>Short</t>
        </is>
      </c>
      <c r="D21" s="4" t="n">
        <v>-8</v>
      </c>
      <c r="E21" s="2" t="inlineStr">
        <is>
          <t>2026-10-08</t>
        </is>
      </c>
      <c r="F21" s="5" t="n">
        <v>393.05</v>
      </c>
      <c r="G21" s="5" t="n">
        <v>344.99</v>
      </c>
      <c r="H21" s="6">
        <f>D21*G21</f>
        <v/>
      </c>
      <c r="I21" s="3">
        <f>D21*(G21-F21)</f>
        <v/>
      </c>
      <c r="J21" s="7">
        <f>IF(D21&gt;0,1,-1)*(G21/F21-1)</f>
        <v/>
      </c>
    </row>
  </sheetData>
  <autoFilter ref="A1:J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Netflix</t>
        </is>
      </c>
      <c r="D7" s="2" t="inlineStr">
        <is>
          <t>Long</t>
        </is>
      </c>
      <c r="E7" s="4" t="n">
        <v>24</v>
      </c>
      <c r="F7" s="5" t="n">
        <v>67.85000000000001</v>
      </c>
      <c r="G7" s="5" t="n">
        <v>71.59000000000002</v>
      </c>
      <c r="H7" s="3">
        <f>E7*(G7-F7)</f>
        <v/>
      </c>
    </row>
    <row r="8">
      <c r="A8" s="2" t="inlineStr">
        <is>
          <t>2026-10-09</t>
        </is>
      </c>
      <c r="B8" s="2" t="inlineStr">
        <is>
          <t>AVGO</t>
        </is>
      </c>
      <c r="C8" s="2" t="inlineStr">
        <is>
          <t>Broadcom</t>
        </is>
      </c>
      <c r="D8" s="2" t="inlineStr">
        <is>
          <t>Long</t>
        </is>
      </c>
      <c r="E8" s="4" t="n">
        <v>3</v>
      </c>
      <c r="F8" s="5" t="n">
        <v>360.3700000000001</v>
      </c>
      <c r="G8" s="5" t="n">
        <v>361.53</v>
      </c>
      <c r="H8" s="3">
        <f>E8*(G8-F8)</f>
        <v/>
      </c>
    </row>
    <row r="9">
      <c r="A9" s="2" t="inlineStr">
        <is>
          <t>2026-10-09</t>
        </is>
      </c>
      <c r="B9" s="2" t="inlineStr">
        <is>
          <t>PEP</t>
        </is>
      </c>
      <c r="C9" s="2" t="inlineStr">
        <is>
          <t>PepsiCo</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Broadcom</t>
        </is>
      </c>
      <c r="D11" s="2" t="inlineStr">
        <is>
          <t>Long</t>
        </is>
      </c>
      <c r="E11" s="4" t="n">
        <v>2</v>
      </c>
      <c r="F11" s="5" t="n">
        <v>360.365</v>
      </c>
      <c r="G11" s="5" t="n">
        <v>357.595</v>
      </c>
      <c r="H11" s="3">
        <f>E11*(G11-F11)</f>
        <v/>
      </c>
    </row>
    <row r="12">
      <c r="A12" s="2" t="inlineStr">
        <is>
          <t>2026-10-13</t>
        </is>
      </c>
      <c r="B12" s="2" t="inlineStr">
        <is>
          <t>AMD</t>
        </is>
      </c>
      <c r="C12" s="2" t="inlineStr">
        <is>
          <t>Advanced Micro Devices</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Nvidia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sheetData>
  <autoFilter ref="A1:H1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3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769.5599999999999</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915.37</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909.1799999999999</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909.1799999999999</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72.705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528.095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98.63</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129.785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769.5599999999999</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769.5599999999999</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769.5599999999999</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770.4450073242188</v>
      </c>
      <c r="L13" s="5" t="n">
        <v>769.5599999999999</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545.995</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548.9199829101562</v>
      </c>
      <c r="L15" s="5" t="n">
        <v>545.995</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338.71</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338.71</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339.5599975585938</v>
      </c>
      <c r="L18" s="5" t="n">
        <v>338.71</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186.8849945068359</v>
      </c>
      <c r="L19" s="5" t="n">
        <v>186.545</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274.5150146484375</v>
      </c>
      <c r="L20" s="5" t="n">
        <v>274.24</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349.1600036621094</v>
      </c>
      <c r="L21" s="5" t="n">
        <v>348.04</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59.03010177612305</v>
      </c>
      <c r="L22" s="5" t="n">
        <v>58.925</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849.4299926757812</v>
      </c>
      <c r="L23" s="5" t="n">
        <v>845.55</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1266.050048828125</v>
      </c>
      <c r="L24" s="5" t="n">
        <v>1266.225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236.6450042724609</v>
      </c>
      <c r="L25" s="5" t="n">
        <v>235.02</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217.2</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217.6699981689453</v>
      </c>
      <c r="L27" s="5" t="n">
        <v>217.2</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528.155029296875</v>
      </c>
      <c r="L28" s="5" t="n">
        <v>528.095</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98.94999694824219</v>
      </c>
      <c r="L29" s="5" t="n">
        <v>98.63</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242.7400054931641</v>
      </c>
      <c r="L30" s="5" t="n">
        <v>243.285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738.52001953125</v>
      </c>
      <c r="L31" s="5" t="n">
        <v>733.225</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37.35150146484375</v>
      </c>
      <c r="L32" s="5" t="n">
        <v>37.26</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130.51</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130.2200012207031</v>
      </c>
      <c r="L34" s="5" t="n">
        <v>130.51</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1344.78</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1342.18994140625</v>
      </c>
      <c r="L36" s="5" t="n">
        <v>1344.78</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673.1199951171875</v>
      </c>
      <c r="L37" s="5" t="n">
        <v>673.025</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346.9200134277344</v>
      </c>
      <c r="L38" s="5" t="n">
        <v>344.97</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sheetData>
  <autoFilter ref="A1:Q3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5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sheetData>
  <autoFilter ref="A1:O5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sheetData>
  <autoFilter ref="A1:F1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sheetData>
  <autoFilter ref="A1:F12"/>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2026-10-15T17:16:26Z</dcterms:created>
  <dcterms:modified xmlns:dcterms="http://purl.org/dc/terms/" xmlns:xsi="http://www.w3.org/2001/XMLSchema-instance" xsi:type="dcterms:W3CDTF">2026-10-15T17:16:28Z</dcterms:modified>
</cp:coreProperties>
</file>