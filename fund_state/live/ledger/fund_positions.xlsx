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trades'!$A$1:$H$68</definedName>
    <definedName name="_xlnm._FilterDatabase" localSheetId="3" hidden="1">'Positions'!$A$1:$Q$103</definedName>
    <definedName name="_xlnm._FilterDatabase" localSheetId="4" hidden="1">'Orders'!$A$1:$O$171</definedName>
    <definedName name="_xlnm._FilterDatabase" localSheetId="5" hidden="1">'Account'!$A$1:$F$22</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2026-10-30 14:46 ET)</t>
        </is>
      </c>
      <c r="B2" s="3" t="n">
        <v>97813.75750000001</v>
      </c>
    </row>
    <row r="3">
      <c r="A3" s="2" t="inlineStr">
        <is>
          <t>Net deposits</t>
        </is>
      </c>
      <c r="B3" s="3" t="n">
        <v>100000</v>
      </c>
    </row>
    <row r="4">
      <c r="A4" s="2" t="inlineStr">
        <is>
          <t>Account P&amp;L</t>
        </is>
      </c>
      <c r="B4" s="3">
        <f>B2-B3</f>
        <v/>
      </c>
    </row>
    <row r="5">
      <c r="A5" s="2" t="inlineStr">
        <is>
          <t>Realized P&amp;L (closed shares, FIFO)</t>
        </is>
      </c>
      <c r="B5" s="3" t="n">
        <v>-2968.819999999993</v>
      </c>
    </row>
    <row r="6">
      <c r="A6" s="2" t="inlineStr">
        <is>
          <t>Unrealized P&amp;L (open shares at Alpaca marks)</t>
        </is>
      </c>
      <c r="B6" s="3" t="n">
        <v>786.5974999999989</v>
      </c>
    </row>
    <row r="7">
      <c r="A7" s="2" t="inlineStr">
        <is>
          <t>Dividends, fees &amp; interest</t>
        </is>
      </c>
      <c r="B7" s="3" t="n">
        <v>-4.019999999999998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343.06</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320.35</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170.83</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252.7</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70.19</v>
      </c>
      <c r="H6" s="6">
        <f>D6*G6</f>
        <v/>
      </c>
      <c r="I6" s="3">
        <f>D6*(G6-F6)</f>
        <v/>
      </c>
      <c r="J6" s="7">
        <f>IF(D6&gt;0,1,-1)*(G6/F6-1)</f>
        <v/>
      </c>
    </row>
    <row r="7">
      <c r="A7" s="2" t="inlineStr">
        <is>
          <t>BSX</t>
        </is>
      </c>
      <c r="B7" s="2" t="inlineStr">
        <is>
          <t>BSX</t>
        </is>
      </c>
      <c r="C7" s="2" t="inlineStr">
        <is>
          <t>Short</t>
        </is>
      </c>
      <c r="D7" s="4" t="n">
        <v>-138</v>
      </c>
      <c r="E7" s="2" t="inlineStr">
        <is>
          <t>2026-10-29</t>
        </is>
      </c>
      <c r="F7" s="5" t="n">
        <v>42.69</v>
      </c>
      <c r="G7" s="5" t="n">
        <v>41.775</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323.445</v>
      </c>
      <c r="H8" s="6">
        <f>D8*G8</f>
        <v/>
      </c>
      <c r="I8" s="3">
        <f>D8*(G8-F8)</f>
        <v/>
      </c>
      <c r="J8" s="7">
        <f>IF(D8&gt;0,1,-1)*(G8/F8-1)</f>
        <v/>
      </c>
    </row>
    <row r="9">
      <c r="A9" s="2" t="inlineStr">
        <is>
          <t>CRL</t>
        </is>
      </c>
      <c r="B9" s="2" t="inlineStr">
        <is>
          <t>CRL</t>
        </is>
      </c>
      <c r="C9" s="2" t="inlineStr">
        <is>
          <t>Short</t>
        </is>
      </c>
      <c r="D9" s="4" t="n">
        <v>-7</v>
      </c>
      <c r="E9" s="2" t="inlineStr">
        <is>
          <t>2026-10-29</t>
        </is>
      </c>
      <c r="F9" s="5" t="n">
        <v>375.7485714285714</v>
      </c>
      <c r="G9" s="5" t="n">
        <v>354.54</v>
      </c>
      <c r="H9" s="6">
        <f>D9*G9</f>
        <v/>
      </c>
      <c r="I9" s="3">
        <f>D9*(G9-F9)</f>
        <v/>
      </c>
      <c r="J9" s="7">
        <f>IF(D9&gt;0,1,-1)*(G9/F9-1)</f>
        <v/>
      </c>
    </row>
    <row r="10">
      <c r="A10" s="2" t="inlineStr">
        <is>
          <t>CSX</t>
        </is>
      </c>
      <c r="B10" s="2" t="inlineStr">
        <is>
          <t>CSX</t>
        </is>
      </c>
      <c r="C10" s="2" t="inlineStr">
        <is>
          <t>Long</t>
        </is>
      </c>
      <c r="D10" s="4" t="n">
        <v>175</v>
      </c>
      <c r="E10" s="2" t="inlineStr">
        <is>
          <t>2026-10-22</t>
        </is>
      </c>
      <c r="F10" s="5" t="n">
        <v>51.40897142857144</v>
      </c>
      <c r="G10" s="5" t="n">
        <v>51.875</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1012.615</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277.485</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118.8475</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361.175</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219.67</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519.2</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61.83</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34.73</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31.575</v>
      </c>
      <c r="H19" s="6">
        <f>D19*G19</f>
        <v/>
      </c>
      <c r="I19" s="3">
        <f>D19*(G19-F19)</f>
        <v/>
      </c>
      <c r="J19" s="7">
        <f>IF(D19&gt;0,1,-1)*(G19/F19-1)</f>
        <v/>
      </c>
    </row>
    <row r="20">
      <c r="A20" s="2" t="inlineStr">
        <is>
          <t>SPY</t>
        </is>
      </c>
      <c r="B20" s="2" t="inlineStr">
        <is>
          <t>SPDR S&amp;P 500 ETF</t>
        </is>
      </c>
      <c r="C20" s="2" t="inlineStr">
        <is>
          <t>Short</t>
        </is>
      </c>
      <c r="D20" s="4" t="n">
        <v>-44</v>
      </c>
      <c r="E20" s="2" t="inlineStr">
        <is>
          <t>2026-10-21</t>
        </is>
      </c>
      <c r="F20" s="5" t="n">
        <v>765.9302272727273</v>
      </c>
      <c r="G20" s="5" t="n">
        <v>751.34</v>
      </c>
      <c r="H20" s="6">
        <f>D20*G20</f>
        <v/>
      </c>
      <c r="I20" s="3">
        <f>D20*(G20-F20)</f>
        <v/>
      </c>
      <c r="J20" s="7">
        <f>IF(D20&gt;0,1,-1)*(G20/F20-1)</f>
        <v/>
      </c>
    </row>
    <row r="21">
      <c r="A21" s="2" t="inlineStr">
        <is>
          <t>TSLA</t>
        </is>
      </c>
      <c r="B21" s="2" t="inlineStr">
        <is>
          <t>TSLA</t>
        </is>
      </c>
      <c r="C21" s="2" t="inlineStr">
        <is>
          <t>Long</t>
        </is>
      </c>
      <c r="D21" s="4" t="n">
        <v>20</v>
      </c>
      <c r="E21" s="2" t="inlineStr">
        <is>
          <t>2026-10-22</t>
        </is>
      </c>
      <c r="F21" s="5" t="n">
        <v>374.146</v>
      </c>
      <c r="G21" s="5" t="n">
        <v>395.62</v>
      </c>
      <c r="H21" s="6">
        <f>D21*G21</f>
        <v/>
      </c>
      <c r="I21" s="3">
        <f>D21*(G21-F21)</f>
        <v/>
      </c>
      <c r="J21" s="7">
        <f>IF(D21&gt;0,1,-1)*(G21/F21-1)</f>
        <v/>
      </c>
    </row>
    <row r="22">
      <c r="A22" s="2" t="inlineStr">
        <is>
          <t>VLO</t>
        </is>
      </c>
      <c r="B22" s="2" t="inlineStr">
        <is>
          <t>VLO</t>
        </is>
      </c>
      <c r="C22" s="2" t="inlineStr">
        <is>
          <t>Short</t>
        </is>
      </c>
      <c r="D22" s="4" t="n">
        <v>-7</v>
      </c>
      <c r="E22" s="2" t="inlineStr">
        <is>
          <t>2026-10-29</t>
        </is>
      </c>
      <c r="F22" s="5" t="n">
        <v>384.4342857142857</v>
      </c>
      <c r="G22" s="5" t="n">
        <v>396.2</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sheetData>
  <autoFilter ref="A1:H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751.34</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848.33</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865.35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865.35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61.84</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544.075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107.2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134.88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751.34</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751.34</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751.34</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751.34</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495.52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495.52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320.41</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320.41</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320.41</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170.765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259.83</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277.5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53.64</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823.0700000000001</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1423.01</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192.13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201.52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201.52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544.075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107.2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259.34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612.845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38.77</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138.29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138.29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1123.885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1123.885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626.2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363.365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320.41</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170.765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544.075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259.915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277.485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823.0700000000001</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1423.01</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107.2</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259.33</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612.87</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138.29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1123.885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751.34</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626.2</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363.365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31.57</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309.98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519.22</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61.835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201.51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69.84</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130.255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395.67</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495.52</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49.835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229.55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78.755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53.64</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335.4</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24.57</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168.12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495.52</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612.87</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320.41</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170.765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229.55</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174.2</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192.18</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38.77</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123.91</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186.21</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32.14</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233.47</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519.22</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2026-10-28</t>
        </is>
      </c>
      <c r="B83" s="2" t="inlineStr">
        <is>
          <t>AVGO</t>
        </is>
      </c>
      <c r="C83" s="2" t="inlineStr">
        <is>
          <t>AVGO</t>
        </is>
      </c>
      <c r="D83" s="2" t="inlineStr">
        <is>
          <t>position (lifecycle)</t>
        </is>
      </c>
      <c r="E83" s="2" t="inlineStr">
        <is>
          <t>Long</t>
        </is>
      </c>
      <c r="F83" s="2" t="inlineStr">
        <is>
          <t>Open</t>
        </is>
      </c>
      <c r="G83" s="2" t="inlineStr">
        <is>
          <t>2026-10-29</t>
        </is>
      </c>
      <c r="H83" s="2" t="inlineStr"/>
      <c r="I83" s="4" t="n">
        <v>8</v>
      </c>
      <c r="J83" s="5" t="n">
        <v>344.98</v>
      </c>
      <c r="K83" s="5" t="n"/>
      <c r="L83" s="5" t="n">
        <v>320.41</v>
      </c>
      <c r="M83" s="7">
        <f>IFERROR(IF(E83="Short",-1,1)*(IF(K83&lt;&gt;"",K83,L83)/J83-1),"")</f>
        <v/>
      </c>
      <c r="N83" s="6">
        <f>IFERROR(I83*(IF(K83&lt;&gt;"",K83,L83)-J83),"")</f>
        <v/>
      </c>
      <c r="O83" s="8" t="n">
        <v>0.65</v>
      </c>
      <c r="P83" s="2" t="n"/>
      <c r="Q83"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4">
      <c r="A84" s="2" t="inlineStr">
        <is>
          <t>2026-10-28</t>
        </is>
      </c>
      <c r="B84" s="2" t="inlineStr">
        <is>
          <t>BA</t>
        </is>
      </c>
      <c r="C84" s="2" t="inlineStr">
        <is>
          <t>BA</t>
        </is>
      </c>
      <c r="D84" s="2" t="inlineStr">
        <is>
          <t>position (lifecycle)</t>
        </is>
      </c>
      <c r="E84" s="2" t="inlineStr">
        <is>
          <t>Short</t>
        </is>
      </c>
      <c r="F84" s="2" t="inlineStr">
        <is>
          <t>Open</t>
        </is>
      </c>
      <c r="G84" s="2" t="inlineStr">
        <is>
          <t>2026-10-29</t>
        </is>
      </c>
      <c r="H84" s="2" t="inlineStr"/>
      <c r="I84" s="4" t="n">
        <v>-16</v>
      </c>
      <c r="J84" s="5" t="n">
        <v>172.82</v>
      </c>
      <c r="K84" s="5" t="n"/>
      <c r="L84" s="5" t="n">
        <v>170.765</v>
      </c>
      <c r="M84" s="7">
        <f>IFERROR(IF(E84="Short",-1,1)*(IF(K84&lt;&gt;"",K84,L84)/J84-1),"")</f>
        <v/>
      </c>
      <c r="N84" s="6">
        <f>IFERROR(I84*(IF(K84&lt;&gt;"",K84,L84)-J84),"")</f>
        <v/>
      </c>
      <c r="O84" s="8" t="n">
        <v>0.55</v>
      </c>
      <c r="P84" s="2" t="n"/>
      <c r="Q84"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5">
      <c r="A85" s="2" t="inlineStr">
        <is>
          <t>2026-10-28</t>
        </is>
      </c>
      <c r="B85" s="2" t="inlineStr">
        <is>
          <t>GOOGL</t>
        </is>
      </c>
      <c r="C85" s="2" t="inlineStr">
        <is>
          <t>GOOGL</t>
        </is>
      </c>
      <c r="D85" s="2" t="inlineStr">
        <is>
          <t>position (lifecycle)</t>
        </is>
      </c>
      <c r="E85" s="2" t="inlineStr">
        <is>
          <t>Short</t>
        </is>
      </c>
      <c r="F85" s="2" t="inlineStr">
        <is>
          <t>Open</t>
        </is>
      </c>
      <c r="G85" s="2" t="inlineStr">
        <is>
          <t>2026-10-29</t>
        </is>
      </c>
      <c r="H85" s="2" t="inlineStr"/>
      <c r="I85" s="4" t="n">
        <v>-21</v>
      </c>
      <c r="J85" s="5" t="n">
        <v>283.455714</v>
      </c>
      <c r="K85" s="5" t="n"/>
      <c r="L85" s="5" t="n">
        <v>277.485</v>
      </c>
      <c r="M85" s="7">
        <f>IFERROR(IF(E85="Short",-1,1)*(IF(K85&lt;&gt;"",K85,L85)/J85-1),"")</f>
        <v/>
      </c>
      <c r="N85" s="6">
        <f>IFERROR(I85*(IF(K85&lt;&gt;"",K85,L85)-J85),"")</f>
        <v/>
      </c>
      <c r="O85" s="8" t="n">
        <v>0.62</v>
      </c>
      <c r="P85" s="2" t="n"/>
      <c r="Q85"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6">
      <c r="A86" s="2" t="inlineStr">
        <is>
          <t>2026-10-14</t>
        </is>
      </c>
      <c r="B86" s="2" t="inlineStr">
        <is>
          <t>SPY</t>
        </is>
      </c>
      <c r="C86" s="2" t="inlineStr">
        <is>
          <t>SPDR S&amp;P 500 ETF</t>
        </is>
      </c>
      <c r="D86" s="2" t="inlineStr">
        <is>
          <t>beta hedge</t>
        </is>
      </c>
      <c r="E86" s="2" t="inlineStr">
        <is>
          <t>Short</t>
        </is>
      </c>
      <c r="F86" s="2" t="inlineStr">
        <is>
          <t>Open</t>
        </is>
      </c>
      <c r="G86" s="2" t="inlineStr">
        <is>
          <t>2026-10-21</t>
        </is>
      </c>
      <c r="H86" s="2" t="inlineStr"/>
      <c r="I86" s="4" t="n">
        <v>-44</v>
      </c>
      <c r="J86" s="5" t="n">
        <v>765.9302270909091</v>
      </c>
      <c r="K86" s="5" t="n"/>
      <c r="L86" s="5" t="n">
        <v>751.34</v>
      </c>
      <c r="M86" s="7">
        <f>IFERROR(IF(E86="Short",-1,1)*(IF(K86&lt;&gt;"",K86,L86)/J86-1),"")</f>
        <v/>
      </c>
      <c r="N86" s="6">
        <f>IFERROR(I86*(IF(K86&lt;&gt;"",K86,L86)-J86),"")</f>
        <v/>
      </c>
      <c r="O86" s="8" t="n"/>
      <c r="P86" s="2" t="n"/>
      <c r="Q86" s="9" t="inlineStr">
        <is>
          <t>SPY hedge to zero beta</t>
        </is>
      </c>
    </row>
    <row r="87">
      <c r="A87" s="2" t="inlineStr">
        <is>
          <t>2026-10-28</t>
        </is>
      </c>
      <c r="B87" s="2" t="inlineStr">
        <is>
          <t>MSFT</t>
        </is>
      </c>
      <c r="C87" s="2" t="inlineStr">
        <is>
          <t>MSFT</t>
        </is>
      </c>
      <c r="D87" s="2" t="inlineStr">
        <is>
          <t>position (lifecycle)</t>
        </is>
      </c>
      <c r="E87" s="2" t="inlineStr">
        <is>
          <t>Long</t>
        </is>
      </c>
      <c r="F87" s="2" t="inlineStr">
        <is>
          <t>Open</t>
        </is>
      </c>
      <c r="G87" s="2" t="inlineStr">
        <is>
          <t>2026-10-29</t>
        </is>
      </c>
      <c r="H87" s="2" t="inlineStr"/>
      <c r="I87" s="4" t="n">
        <v>10</v>
      </c>
      <c r="J87" s="5" t="n">
        <v>530.2380000000001</v>
      </c>
      <c r="K87" s="5" t="n"/>
      <c r="L87" s="5" t="n">
        <v>519.22</v>
      </c>
      <c r="M87" s="7">
        <f>IFERROR(IF(E87="Short",-1,1)*(IF(K87&lt;&gt;"",K87,L87)/J87-1),"")</f>
        <v/>
      </c>
      <c r="N87" s="6">
        <f>IFERROR(I87*(IF(K87&lt;&gt;"",K87,L87)-J87),"")</f>
        <v/>
      </c>
      <c r="O87" s="8" t="n">
        <v>0.62</v>
      </c>
      <c r="P87" s="2" t="n"/>
      <c r="Q87"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8">
      <c r="A88" s="2" t="inlineStr">
        <is>
          <t>2026-10-21</t>
        </is>
      </c>
      <c r="B88" s="2" t="inlineStr">
        <is>
          <t>NFLX</t>
        </is>
      </c>
      <c r="C88" s="2" t="inlineStr">
        <is>
          <t>NFLX</t>
        </is>
      </c>
      <c r="D88" s="2" t="inlineStr">
        <is>
          <t>position (lifecycle)</t>
        </is>
      </c>
      <c r="E88" s="2" t="inlineStr">
        <is>
          <t>Short</t>
        </is>
      </c>
      <c r="F88" s="2" t="inlineStr">
        <is>
          <t>Open</t>
        </is>
      </c>
      <c r="G88" s="2" t="inlineStr">
        <is>
          <t>2026-10-22</t>
        </is>
      </c>
      <c r="H88" s="2" t="inlineStr"/>
      <c r="I88" s="4" t="n">
        <v>-67</v>
      </c>
      <c r="J88" s="5" t="n">
        <v>65.86089552238806</v>
      </c>
      <c r="K88" s="5" t="n"/>
      <c r="L88" s="5" t="n">
        <v>61.835</v>
      </c>
      <c r="M88" s="7">
        <f>IFERROR(IF(E88="Short",-1,1)*(IF(K88&lt;&gt;"",K88,L88)/J88-1),"")</f>
        <v/>
      </c>
      <c r="N88" s="6">
        <f>IFERROR(I88*(IF(K88&lt;&gt;"",K88,L88)-J88),"")</f>
        <v/>
      </c>
      <c r="O88" s="8" t="n">
        <v>0.58</v>
      </c>
      <c r="P88" s="2" t="n"/>
      <c r="Q88"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9">
      <c r="A89" s="2" t="inlineStr">
        <is>
          <t>2026-10-21</t>
        </is>
      </c>
      <c r="B89" s="2" t="inlineStr">
        <is>
          <t>SMCI</t>
        </is>
      </c>
      <c r="C89" s="2" t="inlineStr">
        <is>
          <t>SMCI</t>
        </is>
      </c>
      <c r="D89" s="2" t="inlineStr">
        <is>
          <t>position (lifecycle)</t>
        </is>
      </c>
      <c r="E89" s="2" t="inlineStr">
        <is>
          <t>Long</t>
        </is>
      </c>
      <c r="F89" s="2" t="inlineStr">
        <is>
          <t>Open</t>
        </is>
      </c>
      <c r="G89" s="2" t="inlineStr">
        <is>
          <t>2026-10-22</t>
        </is>
      </c>
      <c r="H89" s="2" t="inlineStr"/>
      <c r="I89" s="4" t="n">
        <v>266</v>
      </c>
      <c r="J89" s="5" t="n">
        <v>33.45947565543072</v>
      </c>
      <c r="K89" s="5" t="n"/>
      <c r="L89" s="5" t="n">
        <v>31.57</v>
      </c>
      <c r="M89" s="7">
        <f>IFERROR(IF(E89="Short",-1,1)*(IF(K89&lt;&gt;"",K89,L89)/J89-1),"")</f>
        <v/>
      </c>
      <c r="N89" s="6">
        <f>IFERROR(I89*(IF(K89&lt;&gt;"",K89,L89)-J89),"")</f>
        <v/>
      </c>
      <c r="O89" s="8" t="n">
        <v>0.65</v>
      </c>
      <c r="P89" s="2" t="n"/>
      <c r="Q89"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0">
      <c r="A90" s="2" t="inlineStr">
        <is>
          <t>2026-10-21</t>
        </is>
      </c>
      <c r="B90" s="2" t="inlineStr">
        <is>
          <t>TSLA</t>
        </is>
      </c>
      <c r="C90" s="2" t="inlineStr">
        <is>
          <t>TSLA</t>
        </is>
      </c>
      <c r="D90" s="2" t="inlineStr">
        <is>
          <t>position (lifecycle)</t>
        </is>
      </c>
      <c r="E90" s="2" t="inlineStr">
        <is>
          <t>Long</t>
        </is>
      </c>
      <c r="F90" s="2" t="inlineStr">
        <is>
          <t>Open</t>
        </is>
      </c>
      <c r="G90" s="2" t="inlineStr">
        <is>
          <t>2026-10-22</t>
        </is>
      </c>
      <c r="H90" s="2" t="inlineStr"/>
      <c r="I90" s="4" t="n">
        <v>20</v>
      </c>
      <c r="J90" s="5" t="n">
        <v>374.1460002</v>
      </c>
      <c r="K90" s="5" t="n"/>
      <c r="L90" s="5" t="n">
        <v>395.67</v>
      </c>
      <c r="M90" s="7">
        <f>IFERROR(IF(E90="Short",-1,1)*(IF(K90&lt;&gt;"",K90,L90)/J90-1),"")</f>
        <v/>
      </c>
      <c r="N90" s="6">
        <f>IFERROR(I90*(IF(K90&lt;&gt;"",K90,L90)-J90),"")</f>
        <v/>
      </c>
      <c r="O90" s="8" t="n">
        <v>0.55</v>
      </c>
      <c r="P90" s="2" t="n"/>
      <c r="Q90"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343.125</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175</v>
      </c>
      <c r="J92" s="5" t="n">
        <v>51.40897145714285</v>
      </c>
      <c r="K92" s="5" t="n"/>
      <c r="L92" s="5" t="n">
        <v>51.865</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118.78</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34.745</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252.575</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70.22</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-138</v>
      </c>
      <c r="J97" s="5" t="n">
        <v>42.69</v>
      </c>
      <c r="K97" s="5" t="n"/>
      <c r="L97" s="5" t="n">
        <v>41.775</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323.645</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-7</v>
      </c>
      <c r="J99" s="5" t="n">
        <v>375.748571</v>
      </c>
      <c r="K99" s="5" t="n"/>
      <c r="L99" s="5" t="n">
        <v>354.52</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1012.615</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361.085</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219.72</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396.03</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sheetData>
  <autoFilter ref="A1:O17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77436.08579808404</v>
      </c>
      <c r="D16" s="7">
        <f>IF(C15&gt;0,(B16-B15)/C15,"")</f>
        <v/>
      </c>
      <c r="E16" s="3">
        <f>B16-$B$2</f>
        <v/>
      </c>
      <c r="F16" s="7">
        <f>IF(C16&gt;0,E16/C16,"")</f>
        <v/>
      </c>
    </row>
    <row r="17">
      <c r="A17" s="2" t="inlineStr">
        <is>
          <t>2026-10-22</t>
        </is>
      </c>
      <c r="B17" s="12" t="n">
        <v>98528.21000000001</v>
      </c>
      <c r="C17" s="12" t="n">
        <v>127267.7305285653</v>
      </c>
      <c r="D17" s="7">
        <f>IF(C16&gt;0,(B17-B16)/C16,"")</f>
        <v/>
      </c>
      <c r="E17" s="3">
        <f>B17-$B$2</f>
        <v/>
      </c>
      <c r="F17" s="7">
        <f>IF(C17&gt;0,E17/C17,"")</f>
        <v/>
      </c>
    </row>
    <row r="18">
      <c r="A18" s="2" t="inlineStr">
        <is>
          <t>2026-10-23</t>
        </is>
      </c>
      <c r="B18" s="12" t="n">
        <v>97134.66</v>
      </c>
      <c r="C18" s="12" t="n">
        <v>120192.1905265653</v>
      </c>
      <c r="D18" s="7">
        <f>IF(C17&gt;0,(B18-B17)/C17,"")</f>
        <v/>
      </c>
      <c r="E18" s="3">
        <f>B18-$B$2</f>
        <v/>
      </c>
      <c r="F18" s="7">
        <f>IF(C18&gt;0,E18/C18,"")</f>
        <v/>
      </c>
    </row>
    <row r="19">
      <c r="A19" s="2" t="inlineStr">
        <is>
          <t>2026-10-24</t>
        </is>
      </c>
      <c r="B19" s="12" t="n">
        <v>97550.24000000001</v>
      </c>
      <c r="C19" s="12" t="n">
        <v>120192.1905265653</v>
      </c>
      <c r="D19" s="7">
        <f>IF(C18&gt;0,(B19-B18)/C18,"")</f>
        <v/>
      </c>
      <c r="E19" s="3">
        <f>B19-$B$2</f>
        <v/>
      </c>
      <c r="F19" s="7">
        <f>IF(C19&gt;0,E19/C19,"")</f>
        <v/>
      </c>
    </row>
    <row r="20">
      <c r="A20" s="2" t="inlineStr">
        <is>
          <t>2026-10-27</t>
        </is>
      </c>
      <c r="B20" s="12" t="n">
        <v>97728.81</v>
      </c>
      <c r="C20" s="12" t="n">
        <v>84938.13052234457</v>
      </c>
      <c r="D20" s="7">
        <f>IF(C19&gt;0,(B20-B19)/C19,"")</f>
        <v/>
      </c>
      <c r="E20" s="3">
        <f>B20-$B$2</f>
        <v/>
      </c>
      <c r="F20" s="7">
        <f>IF(C20&gt;0,E20/C20,"")</f>
        <v/>
      </c>
    </row>
    <row r="21">
      <c r="A21" s="2" t="inlineStr">
        <is>
          <t>2026-10-28</t>
        </is>
      </c>
      <c r="B21" s="12" t="n">
        <v>99040.77</v>
      </c>
      <c r="C21" s="12" t="n">
        <v>84938.13052234457</v>
      </c>
      <c r="D21" s="7">
        <f>IF(C20&gt;0,(B21-B20)/C20,"")</f>
        <v/>
      </c>
      <c r="E21" s="3">
        <f>B21-$B$2</f>
        <v/>
      </c>
      <c r="F21" s="7">
        <f>IF(C21&gt;0,E21/C21,"")</f>
        <v/>
      </c>
    </row>
    <row r="22">
      <c r="A22" s="2" t="inlineStr">
        <is>
          <t>2026-10-29</t>
        </is>
      </c>
      <c r="B22" s="12" t="n">
        <v>99075.08</v>
      </c>
      <c r="C22" s="12" t="n">
        <v>128301.0705273445</v>
      </c>
      <c r="D22" s="7">
        <f>IF(C21&gt;0,(B22-B21)/C21,"")</f>
        <v/>
      </c>
      <c r="E22" s="3">
        <f>B22-$B$2</f>
        <v/>
      </c>
      <c r="F22" s="7">
        <f>IF(C22&gt;0,E22/C22,"")</f>
        <v/>
      </c>
    </row>
  </sheetData>
  <autoFilter ref="A1:F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2026-10-30T18:46:39Z</dcterms:created>
  <dcterms:modified xmlns:dcterms="http://purl.org/dc/terms/" xmlns:xsi="http://www.w3.org/2001/XMLSchema-instance" xsi:type="dcterms:W3CDTF">2026-10-30T18:46:47Z</dcterms:modified>
</cp:coreProperties>
</file>