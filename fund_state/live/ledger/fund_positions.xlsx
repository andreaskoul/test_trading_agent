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'Positions'!$A$1:$Q$29</definedName>
    <definedName name="_xlnm._FilterDatabase" localSheetId="1" hidden="1">'Orders'!$A$1:$O$46</definedName>
    <definedName name="_xlnm._FilterDatabase" localSheetId="2" hidden="1">'Account'!$A$1:$D$7</definedName>
    <definedName name="_xlnm._FilterDatabase" localSheetId="3" hidden="1">'Cash activity'!$A$1:$F$6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
    <numFmt numFmtId="170" formatCode="#,##0.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773.9299926757812</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999.3499755859375</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1035.839965820312</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1035.839965820312</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71.56999969482422</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511.0499877929688</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92.68000030517578</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123.629997253418</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Open</t>
        </is>
      </c>
      <c r="G10" s="2" t="inlineStr">
        <is>
          <t>2026-10-08</t>
        </is>
      </c>
      <c r="H10" s="2" t="inlineStr"/>
      <c r="I10" s="3" t="n">
        <v>-29</v>
      </c>
      <c r="J10" s="4" t="n">
        <v>773.95</v>
      </c>
      <c r="K10" s="4" t="n"/>
      <c r="L10" s="4" t="n">
        <v>773.9299926757812</v>
      </c>
      <c r="M10" s="5">
        <f>IFERROR(IF(E10="Short",-1,1)*(IF(K10&lt;&gt;"",K10,L10)/J10-1),"")</f>
        <v/>
      </c>
      <c r="N10" s="6">
        <f>IFERROR(I10*(IF(K10&lt;&gt;"",K10,L10)-J10),"")</f>
        <v/>
      </c>
      <c r="O10" s="7" t="n"/>
      <c r="P10" s="2" t="n"/>
      <c r="Q10" s="8" t="inlineStr">
        <is>
          <t>SPY hedge to zero beta</t>
        </is>
      </c>
    </row>
    <row r="11">
      <c r="A11" s="2" t="inlineStr">
        <is>
          <t>2026-10-07</t>
        </is>
      </c>
      <c r="B11" s="2" t="inlineStr">
        <is>
          <t>AMD</t>
        </is>
      </c>
      <c r="C11" s="2" t="inlineStr">
        <is>
          <t>Advanced Micro Devices</t>
        </is>
      </c>
      <c r="D11" s="2" t="inlineStr">
        <is>
          <t>position</t>
        </is>
      </c>
      <c r="E11" s="2" t="inlineStr">
        <is>
          <t>Long</t>
        </is>
      </c>
      <c r="F11" s="2" t="inlineStr">
        <is>
          <t>Open</t>
        </is>
      </c>
      <c r="G11" s="2" t="inlineStr">
        <is>
          <t>2026-10-08</t>
        </is>
      </c>
      <c r="H11" s="2" t="inlineStr"/>
      <c r="I11" s="3" t="n">
        <v>4</v>
      </c>
      <c r="J11" s="4" t="n">
        <v>621.12</v>
      </c>
      <c r="K11" s="4" t="n"/>
      <c r="L11" s="4" t="n">
        <v>620.6799926757812</v>
      </c>
      <c r="M11" s="5">
        <f>IFERROR(IF(E11="Short",-1,1)*(IF(K11&lt;&gt;"",K11,L11)/J11-1),"")</f>
        <v/>
      </c>
      <c r="N11" s="6">
        <f>IFERROR(I11*(IF(K11&lt;&gt;"",K11,L11)-J11),"")</f>
        <v/>
      </c>
      <c r="O11" s="7" t="n">
        <v>0.55</v>
      </c>
      <c r="P11" s="2" t="inlineStr">
        <is>
          <t>weaken</t>
        </is>
      </c>
      <c r="Q11"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2">
      <c r="A12" s="2" t="inlineStr">
        <is>
          <t>2026-10-07</t>
        </is>
      </c>
      <c r="B12" s="2" t="inlineStr">
        <is>
          <t>AVGO</t>
        </is>
      </c>
      <c r="C12" s="2" t="inlineStr">
        <is>
          <t>Broadcom</t>
        </is>
      </c>
      <c r="D12" s="2" t="inlineStr">
        <is>
          <t>position</t>
        </is>
      </c>
      <c r="E12" s="2" t="inlineStr">
        <is>
          <t>Long</t>
        </is>
      </c>
      <c r="F12" s="2" t="inlineStr">
        <is>
          <t>Open</t>
        </is>
      </c>
      <c r="G12" s="2" t="inlineStr">
        <is>
          <t>2026-10-08</t>
        </is>
      </c>
      <c r="H12" s="2" t="inlineStr"/>
      <c r="I12" s="3" t="n">
        <v>7</v>
      </c>
      <c r="J12" s="4" t="n">
        <v>360.361429</v>
      </c>
      <c r="K12" s="4" t="n"/>
      <c r="L12" s="4" t="n">
        <v>360.1400146484375</v>
      </c>
      <c r="M12" s="5">
        <f>IFERROR(IF(E12="Short",-1,1)*(IF(K12&lt;&gt;"",K12,L12)/J12-1),"")</f>
        <v/>
      </c>
      <c r="N12" s="6">
        <f>IFERROR(I12*(IF(K12&lt;&gt;"",K12,L12)-J12),"")</f>
        <v/>
      </c>
      <c r="O12" s="7" t="n">
        <v>0.55</v>
      </c>
      <c r="P12" s="2" t="inlineStr">
        <is>
          <t>uphold</t>
        </is>
      </c>
      <c r="Q12"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3">
      <c r="A13" s="2" t="inlineStr">
        <is>
          <t>2026-10-07</t>
        </is>
      </c>
      <c r="B13" s="2" t="inlineStr">
        <is>
          <t>BA</t>
        </is>
      </c>
      <c r="C13" s="2" t="inlineStr">
        <is>
          <t>Boeing</t>
        </is>
      </c>
      <c r="D13" s="2" t="inlineStr">
        <is>
          <t>position</t>
        </is>
      </c>
      <c r="E13" s="2" t="inlineStr">
        <is>
          <t>Long</t>
        </is>
      </c>
      <c r="F13" s="2" t="inlineStr">
        <is>
          <t>Open</t>
        </is>
      </c>
      <c r="G13" s="2" t="inlineStr">
        <is>
          <t>2026-10-08</t>
        </is>
      </c>
      <c r="H13" s="2" t="inlineStr"/>
      <c r="I13" s="3" t="n">
        <v>33</v>
      </c>
      <c r="J13" s="4" t="n">
        <v>187.69</v>
      </c>
      <c r="K13" s="4" t="n"/>
      <c r="L13" s="4" t="n">
        <v>187.75</v>
      </c>
      <c r="M13" s="5">
        <f>IFERROR(IF(E13="Short",-1,1)*(IF(K13&lt;&gt;"",K13,L13)/J13-1),"")</f>
        <v/>
      </c>
      <c r="N13" s="6">
        <f>IFERROR(I13*(IF(K13&lt;&gt;"",K13,L13)-J13),"")</f>
        <v/>
      </c>
      <c r="O13" s="7" t="n">
        <v>0.66</v>
      </c>
      <c r="P13" s="2" t="inlineStr">
        <is>
          <t>uphold</t>
        </is>
      </c>
      <c r="Q13"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4">
      <c r="A14" s="2" t="inlineStr">
        <is>
          <t>2026-10-07</t>
        </is>
      </c>
      <c r="B14" s="2" t="inlineStr">
        <is>
          <t>CEG</t>
        </is>
      </c>
      <c r="C14" s="2" t="inlineStr">
        <is>
          <t>Constellation Energy</t>
        </is>
      </c>
      <c r="D14" s="2" t="inlineStr">
        <is>
          <t>position</t>
        </is>
      </c>
      <c r="E14" s="2" t="inlineStr">
        <is>
          <t>Long</t>
        </is>
      </c>
      <c r="F14" s="2" t="inlineStr">
        <is>
          <t>Open</t>
        </is>
      </c>
      <c r="G14" s="2" t="inlineStr">
        <is>
          <t>2026-10-08</t>
        </is>
      </c>
      <c r="H14" s="2" t="inlineStr"/>
      <c r="I14" s="3" t="n">
        <v>10</v>
      </c>
      <c r="J14" s="4" t="n">
        <v>285.07</v>
      </c>
      <c r="K14" s="4" t="n"/>
      <c r="L14" s="4" t="n">
        <v>285.0700073242188</v>
      </c>
      <c r="M14" s="5">
        <f>IFERROR(IF(E14="Short",-1,1)*(IF(K14&lt;&gt;"",K14,L14)/J14-1),"")</f>
        <v/>
      </c>
      <c r="N14" s="6">
        <f>IFERROR(I14*(IF(K14&lt;&gt;"",K14,L14)-J14),"")</f>
        <v/>
      </c>
      <c r="O14" s="7" t="n">
        <v>0.6</v>
      </c>
      <c r="P14" s="2" t="inlineStr">
        <is>
          <t>uphold</t>
        </is>
      </c>
      <c r="Q14" s="8" t="inlineStr">
        <is>
          <t>Google's 20-year nuclear PPA (Oct 6) and Amazon deal (Oct 1) validate CEG's AI power demand, but the +18% week already prices much of it. Expect modest relative outperformance as analysts digest the contract, not a repeat surge.</t>
        </is>
      </c>
    </row>
    <row r="15">
      <c r="A15" s="2" t="inlineStr">
        <is>
          <t>2026-10-07</t>
        </is>
      </c>
      <c r="B15" s="2" t="inlineStr">
        <is>
          <t>GOOGL</t>
        </is>
      </c>
      <c r="C15" s="2" t="inlineStr">
        <is>
          <t>Alphabet Inc. (Class A)</t>
        </is>
      </c>
      <c r="D15" s="2" t="inlineStr">
        <is>
          <t>position</t>
        </is>
      </c>
      <c r="E15" s="2" t="inlineStr">
        <is>
          <t>Long</t>
        </is>
      </c>
      <c r="F15" s="2" t="inlineStr">
        <is>
          <t>Open</t>
        </is>
      </c>
      <c r="G15" s="2" t="inlineStr">
        <is>
          <t>2026-10-08</t>
        </is>
      </c>
      <c r="H15" s="2" t="inlineStr"/>
      <c r="I15" s="3" t="n">
        <v>9</v>
      </c>
      <c r="J15" s="4" t="n">
        <v>348.411111</v>
      </c>
      <c r="K15" s="4" t="n"/>
      <c r="L15" s="4" t="n">
        <v>348.2900085449219</v>
      </c>
      <c r="M15" s="5">
        <f>IFERROR(IF(E15="Short",-1,1)*(IF(K15&lt;&gt;"",K15,L15)/J15-1),"")</f>
        <v/>
      </c>
      <c r="N15" s="6">
        <f>IFERROR(I15*(IF(K15&lt;&gt;"",K15,L15)-J15),"")</f>
        <v/>
      </c>
      <c r="O15" s="7" t="n">
        <v>0.65</v>
      </c>
      <c r="P15" s="2" t="inlineStr">
        <is>
          <t>uphold</t>
        </is>
      </c>
      <c r="Q15"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6">
      <c r="A16" s="2" t="inlineStr">
        <is>
          <t>2026-10-07</t>
        </is>
      </c>
      <c r="B16" s="2" t="inlineStr">
        <is>
          <t>HPE</t>
        </is>
      </c>
      <c r="C16" s="2" t="inlineStr">
        <is>
          <t>Hewlett Packard Enterprise</t>
        </is>
      </c>
      <c r="D16" s="2" t="inlineStr">
        <is>
          <t>position</t>
        </is>
      </c>
      <c r="E16" s="2" t="inlineStr">
        <is>
          <t>Long</t>
        </is>
      </c>
      <c r="F16" s="2" t="inlineStr">
        <is>
          <t>Open</t>
        </is>
      </c>
      <c r="G16" s="2" t="inlineStr">
        <is>
          <t>2026-10-08</t>
        </is>
      </c>
      <c r="H16" s="2" t="inlineStr"/>
      <c r="I16" s="3" t="n">
        <v>40</v>
      </c>
      <c r="J16" s="4" t="n">
        <v>70.92</v>
      </c>
      <c r="K16" s="4" t="n"/>
      <c r="L16" s="4" t="n">
        <v>71</v>
      </c>
      <c r="M16" s="5">
        <f>IFERROR(IF(E16="Short",-1,1)*(IF(K16&lt;&gt;"",K16,L16)/J16-1),"")</f>
        <v/>
      </c>
      <c r="N16" s="6">
        <f>IFERROR(I16*(IF(K16&lt;&gt;"",K16,L16)-J16),"")</f>
        <v/>
      </c>
      <c r="O16" s="7" t="n">
        <v>0.6</v>
      </c>
      <c r="P16" s="2" t="inlineStr">
        <is>
          <t>uphold</t>
        </is>
      </c>
      <c r="Q16"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7">
      <c r="A17" s="2" t="inlineStr">
        <is>
          <t>2026-10-07</t>
        </is>
      </c>
      <c r="B17" s="2" t="inlineStr">
        <is>
          <t>LITE</t>
        </is>
      </c>
      <c r="C17" s="2" t="inlineStr">
        <is>
          <t>Lumentum</t>
        </is>
      </c>
      <c r="D17" s="2" t="inlineStr">
        <is>
          <t>position</t>
        </is>
      </c>
      <c r="E17" s="2" t="inlineStr">
        <is>
          <t>Long</t>
        </is>
      </c>
      <c r="F17" s="2" t="inlineStr">
        <is>
          <t>Open</t>
        </is>
      </c>
      <c r="G17" s="2" t="inlineStr">
        <is>
          <t>2026-10-08</t>
        </is>
      </c>
      <c r="H17" s="2" t="inlineStr"/>
      <c r="I17" s="3" t="n">
        <v>3</v>
      </c>
      <c r="J17" s="4" t="n">
        <v>1050.046667</v>
      </c>
      <c r="K17" s="4" t="n"/>
      <c r="L17" s="4" t="n">
        <v>1048.599975585938</v>
      </c>
      <c r="M17" s="5">
        <f>IFERROR(IF(E17="Short",-1,1)*(IF(K17&lt;&gt;"",K17,L17)/J17-1),"")</f>
        <v/>
      </c>
      <c r="N17" s="6">
        <f>IFERROR(I17*(IF(K17&lt;&gt;"",K17,L17)-J17),"")</f>
        <v/>
      </c>
      <c r="O17" s="7" t="n">
        <v>0.6</v>
      </c>
      <c r="P17" s="2" t="inlineStr">
        <is>
          <t>uphold</t>
        </is>
      </c>
      <c r="Q17"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18">
      <c r="A18" s="2" t="inlineStr">
        <is>
          <t>2026-10-07</t>
        </is>
      </c>
      <c r="B18" s="2" t="inlineStr">
        <is>
          <t>LLY</t>
        </is>
      </c>
      <c r="C18" s="2" t="inlineStr">
        <is>
          <t>Lilly (Eli)</t>
        </is>
      </c>
      <c r="D18" s="2" t="inlineStr">
        <is>
          <t>position</t>
        </is>
      </c>
      <c r="E18" s="2" t="inlineStr">
        <is>
          <t>Long</t>
        </is>
      </c>
      <c r="F18" s="2" t="inlineStr">
        <is>
          <t>Open</t>
        </is>
      </c>
      <c r="G18" s="2" t="inlineStr">
        <is>
          <t>2026-10-08</t>
        </is>
      </c>
      <c r="H18" s="2" t="inlineStr"/>
      <c r="I18" s="3" t="n">
        <v>2</v>
      </c>
      <c r="J18" s="4" t="n">
        <v>1170.25</v>
      </c>
      <c r="K18" s="4" t="n"/>
      <c r="L18" s="4" t="n">
        <v>1169.599975585938</v>
      </c>
      <c r="M18" s="5">
        <f>IFERROR(IF(E18="Short",-1,1)*(IF(K18&lt;&gt;"",K18,L18)/J18-1),"")</f>
        <v/>
      </c>
      <c r="N18" s="6">
        <f>IFERROR(I18*(IF(K18&lt;&gt;"",K18,L18)-J18),"")</f>
        <v/>
      </c>
      <c r="O18" s="7" t="n">
        <v>0.55</v>
      </c>
      <c r="P18" s="2" t="inlineStr">
        <is>
          <t>uphold</t>
        </is>
      </c>
      <c r="Q18"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19">
      <c r="A19" s="2" t="inlineStr">
        <is>
          <t>2026-10-07</t>
        </is>
      </c>
      <c r="B19" s="2" t="inlineStr">
        <is>
          <t>MRVL</t>
        </is>
      </c>
      <c r="C19" s="2" t="inlineStr">
        <is>
          <t>Marvell Technology</t>
        </is>
      </c>
      <c r="D19" s="2" t="inlineStr">
        <is>
          <t>position</t>
        </is>
      </c>
      <c r="E19" s="2" t="inlineStr">
        <is>
          <t>Long</t>
        </is>
      </c>
      <c r="F19" s="2" t="inlineStr">
        <is>
          <t>Open</t>
        </is>
      </c>
      <c r="G19" s="2" t="inlineStr">
        <is>
          <t>2026-10-08</t>
        </is>
      </c>
      <c r="H19" s="2" t="inlineStr"/>
      <c r="I19" s="3" t="n">
        <v>23</v>
      </c>
      <c r="J19" s="4" t="n">
        <v>274.618695</v>
      </c>
      <c r="K19" s="4" t="n"/>
      <c r="L19" s="4" t="n">
        <v>274.6600036621094</v>
      </c>
      <c r="M19" s="5">
        <f>IFERROR(IF(E19="Short",-1,1)*(IF(K19&lt;&gt;"",K19,L19)/J19-1),"")</f>
        <v/>
      </c>
      <c r="N19" s="6">
        <f>IFERROR(I19*(IF(K19&lt;&gt;"",K19,L19)-J19),"")</f>
        <v/>
      </c>
      <c r="O19" s="7" t="n">
        <v>0.68</v>
      </c>
      <c r="P19" s="2" t="inlineStr">
        <is>
          <t>uphold</t>
        </is>
      </c>
      <c r="Q19"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0">
      <c r="A20" s="2" t="inlineStr">
        <is>
          <t>2026-10-07</t>
        </is>
      </c>
      <c r="B20" s="2" t="inlineStr">
        <is>
          <t>NVDA</t>
        </is>
      </c>
      <c r="C20" s="2" t="inlineStr">
        <is>
          <t>Nvidia</t>
        </is>
      </c>
      <c r="D20" s="2" t="inlineStr">
        <is>
          <t>position</t>
        </is>
      </c>
      <c r="E20" s="2" t="inlineStr">
        <is>
          <t>Long</t>
        </is>
      </c>
      <c r="F20" s="2" t="inlineStr">
        <is>
          <t>Open</t>
        </is>
      </c>
      <c r="G20" s="2" t="inlineStr">
        <is>
          <t>2026-10-08</t>
        </is>
      </c>
      <c r="H20" s="2" t="inlineStr"/>
      <c r="I20" s="3" t="n">
        <v>14</v>
      </c>
      <c r="J20" s="4" t="n">
        <v>230.494286</v>
      </c>
      <c r="K20" s="4" t="n"/>
      <c r="L20" s="4" t="n">
        <v>230.4799957275391</v>
      </c>
      <c r="M20" s="5">
        <f>IFERROR(IF(E20="Short",-1,1)*(IF(K20&lt;&gt;"",K20,L20)/J20-1),"")</f>
        <v/>
      </c>
      <c r="N20" s="6">
        <f>IFERROR(I20*(IF(K20&lt;&gt;"",K20,L20)-J20),"")</f>
        <v/>
      </c>
      <c r="O20" s="7" t="n">
        <v>0.66</v>
      </c>
      <c r="P20" s="2" t="inlineStr">
        <is>
          <t>weaken</t>
        </is>
      </c>
      <c r="Q20"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1">
      <c r="A21" s="2" t="inlineStr">
        <is>
          <t>2026-10-07</t>
        </is>
      </c>
      <c r="B21" s="2" t="inlineStr">
        <is>
          <t>BRK.B</t>
        </is>
      </c>
      <c r="C21" s="2" t="inlineStr">
        <is>
          <t>Berkshire Hathaway</t>
        </is>
      </c>
      <c r="D21" s="2" t="inlineStr">
        <is>
          <t>position</t>
        </is>
      </c>
      <c r="E21" s="2" t="inlineStr">
        <is>
          <t>Short</t>
        </is>
      </c>
      <c r="F21" s="2" t="inlineStr">
        <is>
          <t>Open</t>
        </is>
      </c>
      <c r="G21" s="2" t="inlineStr">
        <is>
          <t>2026-10-08</t>
        </is>
      </c>
      <c r="H21" s="2" t="inlineStr"/>
      <c r="I21" s="3" t="n">
        <v>-4</v>
      </c>
      <c r="J21" s="4" t="n">
        <v>511.0499877929688</v>
      </c>
      <c r="K21" s="4" t="n"/>
      <c r="L21" s="4" t="n">
        <v>511.0499877929688</v>
      </c>
      <c r="M21" s="5">
        <f>IFERROR(IF(E21="Short",-1,1)*(IF(K21&lt;&gt;"",K21,L21)/J21-1),"")</f>
        <v/>
      </c>
      <c r="N21" s="6">
        <f>IFERROR(I21*(IF(K21&lt;&gt;"",K21,L21)-J21),"")</f>
        <v/>
      </c>
      <c r="O21" s="7" t="n">
        <v>0.4</v>
      </c>
      <c r="P21" s="2" t="inlineStr">
        <is>
          <t>uphold</t>
        </is>
      </c>
      <c r="Q21"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2">
      <c r="A22" s="2" t="inlineStr">
        <is>
          <t>2026-10-07</t>
        </is>
      </c>
      <c r="B22" s="2" t="inlineStr">
        <is>
          <t>LULU</t>
        </is>
      </c>
      <c r="C22" s="2" t="inlineStr">
        <is>
          <t>Lululemon Athletica</t>
        </is>
      </c>
      <c r="D22" s="2" t="inlineStr">
        <is>
          <t>position</t>
        </is>
      </c>
      <c r="E22" s="2" t="inlineStr">
        <is>
          <t>Short</t>
        </is>
      </c>
      <c r="F22" s="2" t="inlineStr">
        <is>
          <t>Open</t>
        </is>
      </c>
      <c r="G22" s="2" t="inlineStr">
        <is>
          <t>2026-10-08</t>
        </is>
      </c>
      <c r="H22" s="2" t="inlineStr"/>
      <c r="I22" s="3" t="n">
        <v>-32</v>
      </c>
      <c r="J22" s="4" t="n">
        <v>92.70999999999999</v>
      </c>
      <c r="K22" s="4" t="n"/>
      <c r="L22" s="4" t="n">
        <v>92.68000030517578</v>
      </c>
      <c r="M22" s="5">
        <f>IFERROR(IF(E22="Short",-1,1)*(IF(K22&lt;&gt;"",K22,L22)/J22-1),"")</f>
        <v/>
      </c>
      <c r="N22" s="6">
        <f>IFERROR(I22*(IF(K22&lt;&gt;"",K22,L22)-J22),"")</f>
        <v/>
      </c>
      <c r="O22" s="7" t="n">
        <v>0.6</v>
      </c>
      <c r="P22" s="2" t="inlineStr">
        <is>
          <t>uphold</t>
        </is>
      </c>
      <c r="Q22" s="8" t="inlineStr">
        <is>
          <t>Burry sold LULU for tax-loss harvesting and swapped to Deckers (Oct 6), a negative flow signal. Oct 7 leadership overhaul adds uncertainty; stock at 52-week low with no earnings catalyst. Valuation debate fading. Expect underperformance next week.</t>
        </is>
      </c>
    </row>
    <row r="23">
      <c r="A23" s="2" t="inlineStr">
        <is>
          <t>2026-10-07</t>
        </is>
      </c>
      <c r="B23" s="2" t="inlineStr">
        <is>
          <t>MCD</t>
        </is>
      </c>
      <c r="C23" s="2" t="inlineStr">
        <is>
          <t>McDonald's</t>
        </is>
      </c>
      <c r="D23" s="2" t="inlineStr">
        <is>
          <t>position</t>
        </is>
      </c>
      <c r="E23" s="2" t="inlineStr">
        <is>
          <t>Short</t>
        </is>
      </c>
      <c r="F23" s="2" t="inlineStr">
        <is>
          <t>Open</t>
        </is>
      </c>
      <c r="G23" s="2" t="inlineStr">
        <is>
          <t>2026-10-08</t>
        </is>
      </c>
      <c r="H23" s="2" t="inlineStr"/>
      <c r="I23" s="3" t="n">
        <v>-13</v>
      </c>
      <c r="J23" s="4" t="n">
        <v>236.64</v>
      </c>
      <c r="K23" s="4" t="n"/>
      <c r="L23" s="4" t="n">
        <v>236.8999938964844</v>
      </c>
      <c r="M23" s="5">
        <f>IFERROR(IF(E23="Short",-1,1)*(IF(K23&lt;&gt;"",K23,L23)/J23-1),"")</f>
        <v/>
      </c>
      <c r="N23" s="6">
        <f>IFERROR(I23*(IF(K23&lt;&gt;"",K23,L23)-J23),"")</f>
        <v/>
      </c>
      <c r="O23" s="7" t="n">
        <v>0.6</v>
      </c>
      <c r="P23" s="2" t="inlineStr">
        <is>
          <t>uphold</t>
        </is>
      </c>
      <c r="Q23"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4">
      <c r="A24" s="2" t="inlineStr">
        <is>
          <t>2026-10-07</t>
        </is>
      </c>
      <c r="B24" s="2" t="inlineStr">
        <is>
          <t>META</t>
        </is>
      </c>
      <c r="C24" s="2" t="inlineStr">
        <is>
          <t>Meta Platforms</t>
        </is>
      </c>
      <c r="D24" s="2" t="inlineStr">
        <is>
          <t>position</t>
        </is>
      </c>
      <c r="E24" s="2" t="inlineStr">
        <is>
          <t>Short</t>
        </is>
      </c>
      <c r="F24" s="2" t="inlineStr">
        <is>
          <t>Open</t>
        </is>
      </c>
      <c r="G24" s="2" t="inlineStr">
        <is>
          <t>2026-10-08</t>
        </is>
      </c>
      <c r="H24" s="2" t="inlineStr"/>
      <c r="I24" s="3" t="n">
        <v>-4</v>
      </c>
      <c r="J24" s="4" t="n">
        <v>720.8099999999999</v>
      </c>
      <c r="K24" s="4" t="n"/>
      <c r="L24" s="4" t="n">
        <v>720.8900146484375</v>
      </c>
      <c r="M24" s="5">
        <f>IFERROR(IF(E24="Short",-1,1)*(IF(K24&lt;&gt;"",K24,L24)/J24-1),"")</f>
        <v/>
      </c>
      <c r="N24" s="6">
        <f>IFERROR(I24*(IF(K24&lt;&gt;"",K24,L24)-J24),"")</f>
        <v/>
      </c>
      <c r="O24" s="7" t="n">
        <v>0.55</v>
      </c>
      <c r="P24" s="2" t="inlineStr">
        <is>
          <t>uphold</t>
        </is>
      </c>
      <c r="Q24"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5">
      <c r="A25" s="2" t="inlineStr">
        <is>
          <t>2026-10-07</t>
        </is>
      </c>
      <c r="B25" s="2" t="inlineStr">
        <is>
          <t>NKE</t>
        </is>
      </c>
      <c r="C25" s="2" t="inlineStr">
        <is>
          <t>Nike, Inc.</t>
        </is>
      </c>
      <c r="D25" s="2" t="inlineStr">
        <is>
          <t>position</t>
        </is>
      </c>
      <c r="E25" s="2" t="inlineStr">
        <is>
          <t>Short</t>
        </is>
      </c>
      <c r="F25" s="2" t="inlineStr">
        <is>
          <t>Open</t>
        </is>
      </c>
      <c r="G25" s="2" t="inlineStr">
        <is>
          <t>2026-10-08</t>
        </is>
      </c>
      <c r="H25" s="2" t="inlineStr"/>
      <c r="I25" s="3" t="n">
        <v>-187</v>
      </c>
      <c r="J25" s="4" t="n">
        <v>34.761176</v>
      </c>
      <c r="K25" s="4" t="n"/>
      <c r="L25" s="4" t="n">
        <v>34.7400016784668</v>
      </c>
      <c r="M25" s="5">
        <f>IFERROR(IF(E25="Short",-1,1)*(IF(K25&lt;&gt;"",K25,L25)/J25-1),"")</f>
        <v/>
      </c>
      <c r="N25" s="6">
        <f>IFERROR(I25*(IF(K25&lt;&gt;"",K25,L25)-J25),"")</f>
        <v/>
      </c>
      <c r="O25" s="7" t="n">
        <v>0.65</v>
      </c>
      <c r="P25" s="2" t="inlineStr">
        <is>
          <t>uphold</t>
        </is>
      </c>
      <c r="Q25"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6">
      <c r="A26" s="2" t="inlineStr">
        <is>
          <t>2026-10-07</t>
        </is>
      </c>
      <c r="B26" s="2" t="inlineStr">
        <is>
          <t>PEP</t>
        </is>
      </c>
      <c r="C26" s="2" t="inlineStr">
        <is>
          <t>PepsiCo</t>
        </is>
      </c>
      <c r="D26" s="2" t="inlineStr">
        <is>
          <t>position</t>
        </is>
      </c>
      <c r="E26" s="2" t="inlineStr">
        <is>
          <t>Short</t>
        </is>
      </c>
      <c r="F26" s="2" t="inlineStr">
        <is>
          <t>Open</t>
        </is>
      </c>
      <c r="G26" s="2" t="inlineStr">
        <is>
          <t>2026-10-08</t>
        </is>
      </c>
      <c r="H26" s="2" t="inlineStr"/>
      <c r="I26" s="3" t="n">
        <v>-16</v>
      </c>
      <c r="J26" s="4" t="n">
        <v>128.19</v>
      </c>
      <c r="K26" s="4" t="n"/>
      <c r="L26" s="4" t="n">
        <v>128.3399963378906</v>
      </c>
      <c r="M26" s="5">
        <f>IFERROR(IF(E26="Short",-1,1)*(IF(K26&lt;&gt;"",K26,L26)/J26-1),"")</f>
        <v/>
      </c>
      <c r="N26" s="6">
        <f>IFERROR(I26*(IF(K26&lt;&gt;"",K26,L26)-J26),"")</f>
        <v/>
      </c>
      <c r="O26" s="7" t="n">
        <v>0.4</v>
      </c>
      <c r="P26" s="2" t="inlineStr">
        <is>
          <t>uphold</t>
        </is>
      </c>
      <c r="Q26"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7">
      <c r="A27" s="2" t="inlineStr">
        <is>
          <t>2026-10-07</t>
        </is>
      </c>
      <c r="B27" s="2" t="inlineStr">
        <is>
          <t>SNDK</t>
        </is>
      </c>
      <c r="C27" s="2" t="inlineStr">
        <is>
          <t>Sandisk</t>
        </is>
      </c>
      <c r="D27" s="2" t="inlineStr">
        <is>
          <t>position</t>
        </is>
      </c>
      <c r="E27" s="2" t="inlineStr">
        <is>
          <t>Short</t>
        </is>
      </c>
      <c r="F27" s="2" t="inlineStr">
        <is>
          <t>Open</t>
        </is>
      </c>
      <c r="G27" s="2" t="inlineStr">
        <is>
          <t>2026-10-08</t>
        </is>
      </c>
      <c r="H27" s="2" t="inlineStr"/>
      <c r="I27" s="3" t="n">
        <v>-1</v>
      </c>
      <c r="J27" s="4" t="n">
        <v>1609.49</v>
      </c>
      <c r="K27" s="4" t="n"/>
      <c r="L27" s="4" t="n">
        <v>1609.4599609375</v>
      </c>
      <c r="M27" s="5">
        <f>IFERROR(IF(E27="Short",-1,1)*(IF(K27&lt;&gt;"",K27,L27)/J27-1),"")</f>
        <v/>
      </c>
      <c r="N27" s="6">
        <f>IFERROR(I27*(IF(K27&lt;&gt;"",K27,L27)-J27),"")</f>
        <v/>
      </c>
      <c r="O27" s="7" t="n">
        <v>0.4</v>
      </c>
      <c r="P27" s="2" t="inlineStr">
        <is>
          <t>uphold</t>
        </is>
      </c>
      <c r="Q27"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28">
      <c r="A28" s="2" t="inlineStr">
        <is>
          <t>2026-10-07</t>
        </is>
      </c>
      <c r="B28" s="2" t="inlineStr">
        <is>
          <t>STX</t>
        </is>
      </c>
      <c r="C28" s="2" t="inlineStr">
        <is>
          <t>Seagate Technology</t>
        </is>
      </c>
      <c r="D28" s="2" t="inlineStr">
        <is>
          <t>position</t>
        </is>
      </c>
      <c r="E28" s="2" t="inlineStr">
        <is>
          <t>Short</t>
        </is>
      </c>
      <c r="F28" s="2" t="inlineStr">
        <is>
          <t>Open</t>
        </is>
      </c>
      <c r="G28" s="2" t="inlineStr">
        <is>
          <t>2026-10-08</t>
        </is>
      </c>
      <c r="H28" s="2" t="inlineStr"/>
      <c r="I28" s="3" t="n">
        <v>-3</v>
      </c>
      <c r="J28" s="4" t="n">
        <v>775.35</v>
      </c>
      <c r="K28" s="4" t="n"/>
      <c r="L28" s="4" t="n">
        <v>774.8300170898438</v>
      </c>
      <c r="M28" s="5">
        <f>IFERROR(IF(E28="Short",-1,1)*(IF(K28&lt;&gt;"",K28,L28)/J28-1),"")</f>
        <v/>
      </c>
      <c r="N28" s="6">
        <f>IFERROR(I28*(IF(K28&lt;&gt;"",K28,L28)-J28),"")</f>
        <v/>
      </c>
      <c r="O28" s="7" t="n">
        <v>0.5</v>
      </c>
      <c r="P28" s="2" t="inlineStr">
        <is>
          <t>uphold</t>
        </is>
      </c>
      <c r="Q28"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29">
      <c r="A29" s="2" t="inlineStr">
        <is>
          <t>2026-10-07</t>
        </is>
      </c>
      <c r="B29" s="2" t="inlineStr">
        <is>
          <t>WDC</t>
        </is>
      </c>
      <c r="C29" s="2" t="inlineStr">
        <is>
          <t>Western Digital</t>
        </is>
      </c>
      <c r="D29" s="2" t="inlineStr">
        <is>
          <t>position</t>
        </is>
      </c>
      <c r="E29" s="2" t="inlineStr">
        <is>
          <t>Short</t>
        </is>
      </c>
      <c r="F29" s="2" t="inlineStr">
        <is>
          <t>Open</t>
        </is>
      </c>
      <c r="G29" s="2" t="inlineStr">
        <is>
          <t>2026-10-08</t>
        </is>
      </c>
      <c r="H29" s="2" t="inlineStr"/>
      <c r="I29" s="3" t="n">
        <v>-8</v>
      </c>
      <c r="J29" s="4" t="n">
        <v>393.05</v>
      </c>
      <c r="K29" s="4" t="n"/>
      <c r="L29" s="4" t="n">
        <v>393.3099975585938</v>
      </c>
      <c r="M29" s="5">
        <f>IFERROR(IF(E29="Short",-1,1)*(IF(K29&lt;&gt;"",K29,L29)/J29-1),"")</f>
        <v/>
      </c>
      <c r="N29" s="6">
        <f>IFERROR(I29*(IF(K29&lt;&gt;"",K29,L29)-J29),"")</f>
        <v/>
      </c>
      <c r="O29" s="7" t="n">
        <v>0.6</v>
      </c>
      <c r="P29" s="2" t="inlineStr">
        <is>
          <t>uphold</t>
        </is>
      </c>
      <c r="Q29"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2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sheetData>
  <autoFilter ref="A1:O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s>
  <sheetData>
    <row r="1" ht="30" customHeight="1">
      <c r="A1" s="1" t="inlineStr">
        <is>
          <t>Day</t>
        </is>
      </c>
      <c r="B1" s="1" t="inlineStr">
        <is>
          <t>Paper account value ($)</t>
        </is>
      </c>
      <c r="C1" s="1" t="inlineStr">
        <is>
          <t>Daily return (%)</t>
        </is>
      </c>
      <c r="D1" s="1" t="inlineStr">
        <is>
          <t>Since first trade (%)</t>
        </is>
      </c>
    </row>
    <row r="2">
      <c r="A2" s="2" t="inlineStr">
        <is>
          <t>2026-10-01</t>
        </is>
      </c>
      <c r="B2" s="11" t="n">
        <v>100000</v>
      </c>
      <c r="C2" s="5" t="inlineStr"/>
      <c r="D2" s="5">
        <f>B2/$B$2-1</f>
        <v/>
      </c>
    </row>
    <row r="3">
      <c r="A3" s="2" t="inlineStr">
        <is>
          <t>2026-10-02</t>
        </is>
      </c>
      <c r="B3" s="11" t="n">
        <v>99999.89</v>
      </c>
      <c r="C3" s="5">
        <f>B3/B2-1</f>
        <v/>
      </c>
      <c r="D3" s="5">
        <f>B3/$B$2-1</f>
        <v/>
      </c>
    </row>
    <row r="4">
      <c r="A4" s="2" t="inlineStr">
        <is>
          <t>2026-10-03</t>
        </is>
      </c>
      <c r="B4" s="11" t="n">
        <v>99968.23</v>
      </c>
      <c r="C4" s="5">
        <f>B4/B3-1</f>
        <v/>
      </c>
      <c r="D4" s="5">
        <f>B4/$B$2-1</f>
        <v/>
      </c>
    </row>
    <row r="5">
      <c r="A5" s="2" t="inlineStr">
        <is>
          <t>2026-10-06</t>
        </is>
      </c>
      <c r="B5" s="11" t="n">
        <v>99986.53</v>
      </c>
      <c r="C5" s="5">
        <f>B5/B4-1</f>
        <v/>
      </c>
      <c r="D5" s="5">
        <f>B5/$B$2-1</f>
        <v/>
      </c>
    </row>
    <row r="6">
      <c r="A6" s="2" t="inlineStr">
        <is>
          <t>2026-10-07</t>
        </is>
      </c>
      <c r="B6" s="11" t="n">
        <v>100026.93</v>
      </c>
      <c r="C6" s="5">
        <f>B6/B5-1</f>
        <v/>
      </c>
      <c r="D6" s="5">
        <f>B6/$B$2-1</f>
        <v/>
      </c>
    </row>
    <row r="7">
      <c r="A7" s="2" t="inlineStr">
        <is>
          <t>2026-10-08</t>
        </is>
      </c>
      <c r="B7" s="11" t="n">
        <v>100100.07</v>
      </c>
      <c r="C7" s="5">
        <f>B7/B6-1</f>
        <v/>
      </c>
      <c r="D7" s="5">
        <f>B7/$B$2-1</f>
        <v/>
      </c>
    </row>
  </sheetData>
  <autoFilter ref="A1:D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2" t="n"/>
      <c r="F2" s="13" t="n">
        <v>-0.11</v>
      </c>
    </row>
    <row r="3">
      <c r="A3" s="2" t="inlineStr">
        <is>
          <t>2026-10-01</t>
        </is>
      </c>
      <c r="B3" s="2" t="inlineStr">
        <is>
          <t>FEE</t>
        </is>
      </c>
      <c r="C3" s="2" t="n"/>
      <c r="D3" s="9" t="n"/>
      <c r="E3" s="12" t="n"/>
      <c r="F3" s="13" t="n">
        <v>-0.01</v>
      </c>
    </row>
    <row r="4">
      <c r="A4" s="2" t="inlineStr">
        <is>
          <t>2026-10-06</t>
        </is>
      </c>
      <c r="B4" s="2" t="inlineStr">
        <is>
          <t>FEE</t>
        </is>
      </c>
      <c r="C4" s="2" t="n"/>
      <c r="D4" s="9" t="n"/>
      <c r="E4" s="12" t="n"/>
      <c r="F4" s="13" t="n">
        <v>-0.01</v>
      </c>
    </row>
    <row r="5">
      <c r="A5" s="2" t="inlineStr">
        <is>
          <t>2026-10-07</t>
        </is>
      </c>
      <c r="B5" s="2" t="inlineStr">
        <is>
          <t>FEE</t>
        </is>
      </c>
      <c r="C5" s="2" t="n"/>
      <c r="D5" s="9" t="n"/>
      <c r="E5" s="12" t="n"/>
      <c r="F5" s="13" t="n">
        <v>-0.01</v>
      </c>
    </row>
    <row r="6">
      <c r="A6" s="2" t="inlineStr">
        <is>
          <t>2026-10-07</t>
        </is>
      </c>
      <c r="B6" s="2" t="inlineStr">
        <is>
          <t>FEE</t>
        </is>
      </c>
      <c r="C6" s="2" t="n"/>
      <c r="D6" s="9" t="n"/>
      <c r="E6" s="12" t="n"/>
      <c r="F6" s="13" t="n">
        <v>-0.06</v>
      </c>
    </row>
  </sheetData>
  <autoFilter ref="A1:F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2026-10-09T07:01:37Z</dcterms:created>
  <dcterms:modified xmlns:dcterms="http://purl.org/dc/terms/" xmlns:xsi="http://www.w3.org/2001/XMLSchema-instance" xsi:type="dcterms:W3CDTF">2026-10-09T07:01:37Z</dcterms:modified>
</cp:coreProperties>
</file>