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trades'!$A$1:$H$72</definedName>
    <definedName name="_xlnm._FilterDatabase" localSheetId="3" hidden="1">'Positions'!$A$1:$Q$103</definedName>
    <definedName name="_xlnm._FilterDatabase" localSheetId="4" hidden="1">'Orders'!$A$1:$O$176</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16:02 ET)</t>
        </is>
      </c>
      <c r="B2" s="3" t="n">
        <v>98077.23000000001</v>
      </c>
    </row>
    <row r="3">
      <c r="A3" s="2" t="inlineStr">
        <is>
          <t>Net deposits</t>
        </is>
      </c>
      <c r="B3" s="3" t="n">
        <v>100000</v>
      </c>
    </row>
    <row r="4">
      <c r="A4" s="2" t="inlineStr">
        <is>
          <t>Account P&amp;L</t>
        </is>
      </c>
      <c r="B4" s="3">
        <f>B2-B3</f>
        <v/>
      </c>
    </row>
    <row r="5">
      <c r="A5" s="2" t="inlineStr">
        <is>
          <t>Realized P&amp;L (closed shares, FIFO)</t>
        </is>
      </c>
      <c r="B5" s="3" t="n">
        <v>-2068.779999999992</v>
      </c>
    </row>
    <row r="6">
      <c r="A6" s="2" t="inlineStr">
        <is>
          <t>Unrealized P&amp;L (open shares at Alpaca marks)</t>
        </is>
      </c>
      <c r="B6" s="3" t="n">
        <v>150.0300000000013</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344.63</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326.59</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171.3</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253.62</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69.76000000000001</v>
      </c>
      <c r="H6" s="6">
        <f>D6*G6</f>
        <v/>
      </c>
      <c r="I6" s="3">
        <f>D6*(G6-F6)</f>
        <v/>
      </c>
      <c r="J6" s="7">
        <f>IF(D6&gt;0,1,-1)*(G6/F6-1)</f>
        <v/>
      </c>
    </row>
    <row r="7">
      <c r="A7" s="2" t="inlineStr">
        <is>
          <t>BSX</t>
        </is>
      </c>
      <c r="B7" s="2" t="inlineStr">
        <is>
          <t>BSX</t>
        </is>
      </c>
      <c r="C7" s="2" t="inlineStr">
        <is>
          <t>Short</t>
        </is>
      </c>
      <c r="D7" s="4" t="n">
        <v>-211</v>
      </c>
      <c r="E7" s="2" t="inlineStr">
        <is>
          <t>2026-10-29</t>
        </is>
      </c>
      <c r="F7" s="5" t="n">
        <v>42.42360189573459</v>
      </c>
      <c r="G7" s="5" t="n">
        <v>41.98</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327.89</v>
      </c>
      <c r="H8" s="6">
        <f>D8*G8</f>
        <v/>
      </c>
      <c r="I8" s="3">
        <f>D8*(G8-F8)</f>
        <v/>
      </c>
      <c r="J8" s="7">
        <f>IF(D8&gt;0,1,-1)*(G8/F8-1)</f>
        <v/>
      </c>
    </row>
    <row r="9">
      <c r="A9" s="2" t="inlineStr">
        <is>
          <t>CRL</t>
        </is>
      </c>
      <c r="B9" s="2" t="inlineStr">
        <is>
          <t>CRL</t>
        </is>
      </c>
      <c r="C9" s="2" t="inlineStr">
        <is>
          <t>Short</t>
        </is>
      </c>
      <c r="D9" s="4" t="n">
        <v>-3</v>
      </c>
      <c r="E9" s="2" t="inlineStr">
        <is>
          <t>2026-10-29</t>
        </is>
      </c>
      <c r="F9" s="5" t="n">
        <v>375.72</v>
      </c>
      <c r="G9" s="5" t="n">
        <v>359.41</v>
      </c>
      <c r="H9" s="6">
        <f>D9*G9</f>
        <v/>
      </c>
      <c r="I9" s="3">
        <f>D9*(G9-F9)</f>
        <v/>
      </c>
      <c r="J9" s="7">
        <f>IF(D9&gt;0,1,-1)*(G9/F9-1)</f>
        <v/>
      </c>
    </row>
    <row r="10">
      <c r="A10" s="2" t="inlineStr">
        <is>
          <t>CSX</t>
        </is>
      </c>
      <c r="B10" s="2" t="inlineStr">
        <is>
          <t>CSX</t>
        </is>
      </c>
      <c r="C10" s="2" t="inlineStr">
        <is>
          <t>Long</t>
        </is>
      </c>
      <c r="D10" s="4" t="n">
        <v>88</v>
      </c>
      <c r="E10" s="2" t="inlineStr">
        <is>
          <t>2026-10-22</t>
        </is>
      </c>
      <c r="F10" s="5" t="n">
        <v>51.10147727272727</v>
      </c>
      <c r="G10" s="5" t="n">
        <v>52.17</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1013.7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280.36</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119.09</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361.39</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221.55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522.35</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62.16</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34.66</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32.95</v>
      </c>
      <c r="H19" s="6">
        <f>D19*G19</f>
        <v/>
      </c>
      <c r="I19" s="3">
        <f>D19*(G19-F19)</f>
        <v/>
      </c>
      <c r="J19" s="7">
        <f>IF(D19&gt;0,1,-1)*(G19/F19-1)</f>
        <v/>
      </c>
    </row>
    <row r="20">
      <c r="A20" s="2" t="inlineStr">
        <is>
          <t>SPY</t>
        </is>
      </c>
      <c r="B20" s="2" t="inlineStr">
        <is>
          <t>SPDR S&amp;P 500 ETF</t>
        </is>
      </c>
      <c r="C20" s="2" t="inlineStr">
        <is>
          <t>Short</t>
        </is>
      </c>
      <c r="D20" s="4" t="n">
        <v>-22</v>
      </c>
      <c r="E20" s="2" t="inlineStr">
        <is>
          <t>2026-10-23</t>
        </is>
      </c>
      <c r="F20" s="5" t="n">
        <v>763.0690909090907</v>
      </c>
      <c r="G20" s="5" t="n">
        <v>756.29</v>
      </c>
      <c r="H20" s="6">
        <f>D20*G20</f>
        <v/>
      </c>
      <c r="I20" s="3">
        <f>D20*(G20-F20)</f>
        <v/>
      </c>
      <c r="J20" s="7">
        <f>IF(D20&gt;0,1,-1)*(G20/F20-1)</f>
        <v/>
      </c>
    </row>
    <row r="21">
      <c r="A21" s="2" t="inlineStr">
        <is>
          <t>VLO</t>
        </is>
      </c>
      <c r="B21" s="2" t="inlineStr">
        <is>
          <t>VLO</t>
        </is>
      </c>
      <c r="C21" s="2" t="inlineStr">
        <is>
          <t>Short</t>
        </is>
      </c>
      <c r="D21" s="4" t="n">
        <v>-7</v>
      </c>
      <c r="E21" s="2" t="inlineStr">
        <is>
          <t>2026-10-29</t>
        </is>
      </c>
      <c r="F21" s="5" t="n">
        <v>384.4342857142857</v>
      </c>
      <c r="G21" s="5" t="n">
        <v>399.66</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row r="69">
      <c r="A69" s="2" t="inlineStr">
        <is>
          <t>2026-10-30</t>
        </is>
      </c>
      <c r="B69" s="2" t="inlineStr">
        <is>
          <t>CRL</t>
        </is>
      </c>
      <c r="C69" s="2" t="inlineStr">
        <is>
          <t>CRL</t>
        </is>
      </c>
      <c r="D69" s="2" t="inlineStr">
        <is>
          <t>Short</t>
        </is>
      </c>
      <c r="E69" s="4" t="n">
        <v>-4</v>
      </c>
      <c r="F69" s="5" t="n">
        <v>375.77</v>
      </c>
      <c r="G69" s="5" t="n">
        <v>359.92</v>
      </c>
      <c r="H69" s="3">
        <f>E69*(G69-F69)</f>
        <v/>
      </c>
    </row>
    <row r="70">
      <c r="A70" s="2" t="inlineStr">
        <is>
          <t>2026-10-30</t>
        </is>
      </c>
      <c r="B70" s="2" t="inlineStr">
        <is>
          <t>CSX</t>
        </is>
      </c>
      <c r="C70" s="2" t="inlineStr">
        <is>
          <t>CSX</t>
        </is>
      </c>
      <c r="D70" s="2" t="inlineStr">
        <is>
          <t>Long</t>
        </is>
      </c>
      <c r="E70" s="4" t="n">
        <v>87</v>
      </c>
      <c r="F70" s="5" t="n">
        <v>51.72000000000001</v>
      </c>
      <c r="G70" s="5" t="n">
        <v>52.02999999999999</v>
      </c>
      <c r="H70" s="3">
        <f>E70*(G70-F70)</f>
        <v/>
      </c>
    </row>
    <row r="71">
      <c r="A71" s="2" t="inlineStr">
        <is>
          <t>2026-10-30</t>
        </is>
      </c>
      <c r="B71" s="2" t="inlineStr">
        <is>
          <t>TSLA</t>
        </is>
      </c>
      <c r="C71" s="2" t="inlineStr">
        <is>
          <t>TSLA</t>
        </is>
      </c>
      <c r="D71" s="2" t="inlineStr">
        <is>
          <t>Long</t>
        </is>
      </c>
      <c r="E71" s="4" t="n">
        <v>20</v>
      </c>
      <c r="F71" s="5" t="n">
        <v>374.146</v>
      </c>
      <c r="G71" s="5" t="n">
        <v>399.871</v>
      </c>
      <c r="H71" s="3">
        <f>E71*(G71-F71)</f>
        <v/>
      </c>
    </row>
    <row r="72">
      <c r="A72" s="2" t="inlineStr">
        <is>
          <t>2026-10-30</t>
        </is>
      </c>
      <c r="B72" s="2" t="inlineStr">
        <is>
          <t>SPY</t>
        </is>
      </c>
      <c r="C72" s="2" t="inlineStr">
        <is>
          <t>SPDR S&amp;P 500 ETF</t>
        </is>
      </c>
      <c r="D72" s="2" t="inlineStr">
        <is>
          <t>Short</t>
        </is>
      </c>
      <c r="E72" s="4" t="n">
        <v>-22</v>
      </c>
      <c r="F72" s="5" t="n">
        <v>768.7913636363636</v>
      </c>
      <c r="G72" s="5" t="n">
        <v>755.3745454545453</v>
      </c>
      <c r="H72" s="3">
        <f>E72*(G72-F72)</f>
        <v/>
      </c>
    </row>
  </sheetData>
  <autoFilter ref="A1:H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755.780029296875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857.75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884.739990234375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884.739990234375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62.08000183105469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543.3619995117188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107.2399978637695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135.2899932861328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755.780029296875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755.780029296875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755.780029296875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755.780029296875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504.7999877929688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504.7999877929688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326.0799865722656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326.0799865722656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326.0799865722656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171.5599975585938</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262.3800048828125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279.8399963378906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55.11000061035156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840.7000122070312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1416.5400390625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196.3999938964844</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204.6399993896484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204.6399993896484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543.3619995117188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107.2399978637695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258.1799926757812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614.989990234375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38.68000030517578</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137.3399963378906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137.3399963378906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1150.890014648438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1150.890014648438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644.5800170898438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366.1099853515625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326.0799865722656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171.5599975585938</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543.3619995117188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262.3800048828125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279.8399963378906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840.7000122070312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1416.5400390625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107.2399978637695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258.1799926757812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614.989990234375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137.3399963378906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1150.890014648438</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755.780029296875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644.5800170898438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366.1099853515625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32.95000076293945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312.9599914550781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521.9099731445312</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62.08000183105469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204.6399993896484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71.66999816894531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130.6799926757812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399.8099975585938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504.7999877929688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50.02500152587891</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229.1000061035156</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80.13999938964844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55.11000061035156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337.0899963378906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24.32999992370605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169.7799987792969</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504.7999877929688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614.989990234375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326.0799865722656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171.5599975585938</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229.1000061035156</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174.3099975585938</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196.3999938964844</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38.68000030517578</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123.5100021362305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187.2449951171875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31.8700008392334</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239.1100006103516</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521.9099731445312</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2026-10-21</t>
        </is>
      </c>
      <c r="B83" s="2" t="inlineStr">
        <is>
          <t>TSLA</t>
        </is>
      </c>
      <c r="C83" s="2" t="inlineStr">
        <is>
          <t>TSLA</t>
        </is>
      </c>
      <c r="D83" s="2" t="inlineStr">
        <is>
          <t>position (lifecycle)</t>
        </is>
      </c>
      <c r="E83" s="2" t="inlineStr">
        <is>
          <t>Long</t>
        </is>
      </c>
      <c r="F83" s="2" t="inlineStr">
        <is>
          <t>Closed</t>
        </is>
      </c>
      <c r="G83" s="2" t="inlineStr">
        <is>
          <t>2026-10-22</t>
        </is>
      </c>
      <c r="H83" s="2" t="inlineStr">
        <is>
          <t>2026-10-30</t>
        </is>
      </c>
      <c r="I83" s="4" t="n">
        <v>20</v>
      </c>
      <c r="J83" s="5" t="n">
        <v>374.1460002</v>
      </c>
      <c r="K83" s="5" t="n">
        <v>399.871</v>
      </c>
      <c r="L83" s="5" t="n">
        <v>399.8099975585938</v>
      </c>
      <c r="M83" s="7">
        <f>IFERROR(IF(E83="Short",-1,1)*(IF(K83&lt;&gt;"",K83,L83)/J83-1),"")</f>
        <v/>
      </c>
      <c r="N83" s="6">
        <f>IFERROR(I83*(IF(K83&lt;&gt;"",K83,L83)-J83),"")</f>
        <v/>
      </c>
      <c r="O83" s="8" t="n">
        <v>0.55</v>
      </c>
      <c r="P83" s="2" t="n"/>
      <c r="Q83"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4">
      <c r="A84" s="2" t="inlineStr">
        <is>
          <t>2026-10-28</t>
        </is>
      </c>
      <c r="B84" s="2" t="inlineStr">
        <is>
          <t>AVGO</t>
        </is>
      </c>
      <c r="C84" s="2" t="inlineStr">
        <is>
          <t>AVGO</t>
        </is>
      </c>
      <c r="D84" s="2" t="inlineStr">
        <is>
          <t>position (lifecycle)</t>
        </is>
      </c>
      <c r="E84" s="2" t="inlineStr">
        <is>
          <t>Long</t>
        </is>
      </c>
      <c r="F84" s="2" t="inlineStr">
        <is>
          <t>Open</t>
        </is>
      </c>
      <c r="G84" s="2" t="inlineStr">
        <is>
          <t>2026-10-29</t>
        </is>
      </c>
      <c r="H84" s="2" t="inlineStr"/>
      <c r="I84" s="4" t="n">
        <v>8</v>
      </c>
      <c r="J84" s="5" t="n">
        <v>344.98</v>
      </c>
      <c r="K84" s="5" t="n"/>
      <c r="L84" s="5" t="n">
        <v>326.0799865722656</v>
      </c>
      <c r="M84" s="7">
        <f>IFERROR(IF(E84="Short",-1,1)*(IF(K84&lt;&gt;"",K84,L84)/J84-1),"")</f>
        <v/>
      </c>
      <c r="N84" s="6">
        <f>IFERROR(I84*(IF(K84&lt;&gt;"",K84,L84)-J84),"")</f>
        <v/>
      </c>
      <c r="O84" s="8" t="n">
        <v>0.65</v>
      </c>
      <c r="P84" s="2" t="n"/>
      <c r="Q84"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5">
      <c r="A85" s="2" t="inlineStr">
        <is>
          <t>2026-10-28</t>
        </is>
      </c>
      <c r="B85" s="2" t="inlineStr">
        <is>
          <t>BA</t>
        </is>
      </c>
      <c r="C85" s="2" t="inlineStr">
        <is>
          <t>BA</t>
        </is>
      </c>
      <c r="D85" s="2" t="inlineStr">
        <is>
          <t>position (lifecycle)</t>
        </is>
      </c>
      <c r="E85" s="2" t="inlineStr">
        <is>
          <t>Short</t>
        </is>
      </c>
      <c r="F85" s="2" t="inlineStr">
        <is>
          <t>Open</t>
        </is>
      </c>
      <c r="G85" s="2" t="inlineStr">
        <is>
          <t>2026-10-29</t>
        </is>
      </c>
      <c r="H85" s="2" t="inlineStr"/>
      <c r="I85" s="4" t="n">
        <v>-16</v>
      </c>
      <c r="J85" s="5" t="n">
        <v>172.82</v>
      </c>
      <c r="K85" s="5" t="n"/>
      <c r="L85" s="5" t="n">
        <v>171.5599975585938</v>
      </c>
      <c r="M85" s="7">
        <f>IFERROR(IF(E85="Short",-1,1)*(IF(K85&lt;&gt;"",K85,L85)/J85-1),"")</f>
        <v/>
      </c>
      <c r="N85" s="6">
        <f>IFERROR(I85*(IF(K85&lt;&gt;"",K85,L85)-J85),"")</f>
        <v/>
      </c>
      <c r="O85" s="8" t="n">
        <v>0.55</v>
      </c>
      <c r="P85" s="2" t="n"/>
      <c r="Q85"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6">
      <c r="A86" s="2" t="inlineStr">
        <is>
          <t>2026-10-28</t>
        </is>
      </c>
      <c r="B86" s="2" t="inlineStr">
        <is>
          <t>GOOGL</t>
        </is>
      </c>
      <c r="C86" s="2" t="inlineStr">
        <is>
          <t>GOOGL</t>
        </is>
      </c>
      <c r="D86" s="2" t="inlineStr">
        <is>
          <t>position (lifecycle)</t>
        </is>
      </c>
      <c r="E86" s="2" t="inlineStr">
        <is>
          <t>Short</t>
        </is>
      </c>
      <c r="F86" s="2" t="inlineStr">
        <is>
          <t>Open</t>
        </is>
      </c>
      <c r="G86" s="2" t="inlineStr">
        <is>
          <t>2026-10-29</t>
        </is>
      </c>
      <c r="H86" s="2" t="inlineStr"/>
      <c r="I86" s="4" t="n">
        <v>-21</v>
      </c>
      <c r="J86" s="5" t="n">
        <v>283.455714</v>
      </c>
      <c r="K86" s="5" t="n"/>
      <c r="L86" s="5" t="n">
        <v>279.8399963378906</v>
      </c>
      <c r="M86" s="7">
        <f>IFERROR(IF(E86="Short",-1,1)*(IF(K86&lt;&gt;"",K86,L86)/J86-1),"")</f>
        <v/>
      </c>
      <c r="N86" s="6">
        <f>IFERROR(I86*(IF(K86&lt;&gt;"",K86,L86)-J86),"")</f>
        <v/>
      </c>
      <c r="O86" s="8" t="n">
        <v>0.62</v>
      </c>
      <c r="P86" s="2" t="n"/>
      <c r="Q86"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7">
      <c r="A87" s="2" t="inlineStr">
        <is>
          <t>2026-10-14</t>
        </is>
      </c>
      <c r="B87" s="2" t="inlineStr">
        <is>
          <t>SPY</t>
        </is>
      </c>
      <c r="C87" s="2" t="inlineStr">
        <is>
          <t>SPDR S&amp;P 500 ETF</t>
        </is>
      </c>
      <c r="D87" s="2" t="inlineStr">
        <is>
          <t>beta hedge</t>
        </is>
      </c>
      <c r="E87" s="2" t="inlineStr">
        <is>
          <t>Short</t>
        </is>
      </c>
      <c r="F87" s="2" t="inlineStr">
        <is>
          <t>Open</t>
        </is>
      </c>
      <c r="G87" s="2" t="inlineStr">
        <is>
          <t>2026-10-21</t>
        </is>
      </c>
      <c r="H87" s="2" t="inlineStr"/>
      <c r="I87" s="4" t="n">
        <v>-22</v>
      </c>
      <c r="J87" s="5" t="n">
        <v>765.9302270909091</v>
      </c>
      <c r="K87" s="5" t="n"/>
      <c r="L87" s="5" t="n">
        <v>755.780029296875</v>
      </c>
      <c r="M87" s="7">
        <f>IFERROR(IF(E87="Short",-1,1)*(IF(K87&lt;&gt;"",K87,L87)/J87-1),"")</f>
        <v/>
      </c>
      <c r="N87" s="6">
        <f>IFERROR(I87*(IF(K87&lt;&gt;"",K87,L87)-J87),"")</f>
        <v/>
      </c>
      <c r="O87" s="8" t="n"/>
      <c r="P87" s="2" t="n"/>
      <c r="Q87" s="9" t="inlineStr">
        <is>
          <t>SPY hedge to zero beta</t>
        </is>
      </c>
    </row>
    <row r="88">
      <c r="A88" s="2" t="inlineStr">
        <is>
          <t>2026-10-28</t>
        </is>
      </c>
      <c r="B88" s="2" t="inlineStr">
        <is>
          <t>MSFT</t>
        </is>
      </c>
      <c r="C88" s="2" t="inlineStr">
        <is>
          <t>MSFT</t>
        </is>
      </c>
      <c r="D88" s="2" t="inlineStr">
        <is>
          <t>position (lifecycle)</t>
        </is>
      </c>
      <c r="E88" s="2" t="inlineStr">
        <is>
          <t>Long</t>
        </is>
      </c>
      <c r="F88" s="2" t="inlineStr">
        <is>
          <t>Open</t>
        </is>
      </c>
      <c r="G88" s="2" t="inlineStr">
        <is>
          <t>2026-10-29</t>
        </is>
      </c>
      <c r="H88" s="2" t="inlineStr"/>
      <c r="I88" s="4" t="n">
        <v>10</v>
      </c>
      <c r="J88" s="5" t="n">
        <v>530.2380000000001</v>
      </c>
      <c r="K88" s="5" t="n"/>
      <c r="L88" s="5" t="n">
        <v>521.9099731445312</v>
      </c>
      <c r="M88" s="7">
        <f>IFERROR(IF(E88="Short",-1,1)*(IF(K88&lt;&gt;"",K88,L88)/J88-1),"")</f>
        <v/>
      </c>
      <c r="N88" s="6">
        <f>IFERROR(I88*(IF(K88&lt;&gt;"",K88,L88)-J88),"")</f>
        <v/>
      </c>
      <c r="O88" s="8" t="n">
        <v>0.62</v>
      </c>
      <c r="P88" s="2" t="n"/>
      <c r="Q88"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9">
      <c r="A89" s="2" t="inlineStr">
        <is>
          <t>2026-10-21</t>
        </is>
      </c>
      <c r="B89" s="2" t="inlineStr">
        <is>
          <t>NFLX</t>
        </is>
      </c>
      <c r="C89" s="2" t="inlineStr">
        <is>
          <t>NFLX</t>
        </is>
      </c>
      <c r="D89" s="2" t="inlineStr">
        <is>
          <t>position (lifecycle)</t>
        </is>
      </c>
      <c r="E89" s="2" t="inlineStr">
        <is>
          <t>Short</t>
        </is>
      </c>
      <c r="F89" s="2" t="inlineStr">
        <is>
          <t>Open</t>
        </is>
      </c>
      <c r="G89" s="2" t="inlineStr">
        <is>
          <t>2026-10-22</t>
        </is>
      </c>
      <c r="H89" s="2" t="inlineStr"/>
      <c r="I89" s="4" t="n">
        <v>-67</v>
      </c>
      <c r="J89" s="5" t="n">
        <v>65.86089552238806</v>
      </c>
      <c r="K89" s="5" t="n"/>
      <c r="L89" s="5" t="n">
        <v>62.08000183105469</v>
      </c>
      <c r="M89" s="7">
        <f>IFERROR(IF(E89="Short",-1,1)*(IF(K89&lt;&gt;"",K89,L89)/J89-1),"")</f>
        <v/>
      </c>
      <c r="N89" s="6">
        <f>IFERROR(I89*(IF(K89&lt;&gt;"",K89,L89)-J89),"")</f>
        <v/>
      </c>
      <c r="O89" s="8" t="n">
        <v>0.58</v>
      </c>
      <c r="P89" s="2" t="n"/>
      <c r="Q8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90">
      <c r="A90" s="2" t="inlineStr">
        <is>
          <t>2026-10-21</t>
        </is>
      </c>
      <c r="B90" s="2" t="inlineStr">
        <is>
          <t>SMCI</t>
        </is>
      </c>
      <c r="C90" s="2" t="inlineStr">
        <is>
          <t>SMCI</t>
        </is>
      </c>
      <c r="D90" s="2" t="inlineStr">
        <is>
          <t>position (lifecycle)</t>
        </is>
      </c>
      <c r="E90" s="2" t="inlineStr">
        <is>
          <t>Long</t>
        </is>
      </c>
      <c r="F90" s="2" t="inlineStr">
        <is>
          <t>Open</t>
        </is>
      </c>
      <c r="G90" s="2" t="inlineStr">
        <is>
          <t>2026-10-22</t>
        </is>
      </c>
      <c r="H90" s="2" t="inlineStr"/>
      <c r="I90" s="4" t="n">
        <v>266</v>
      </c>
      <c r="J90" s="5" t="n">
        <v>33.45947565543072</v>
      </c>
      <c r="K90" s="5" t="n"/>
      <c r="L90" s="5" t="n">
        <v>32.95000076293945</v>
      </c>
      <c r="M90" s="7">
        <f>IFERROR(IF(E90="Short",-1,1)*(IF(K90&lt;&gt;"",K90,L90)/J90-1),"")</f>
        <v/>
      </c>
      <c r="N90" s="6">
        <f>IFERROR(I90*(IF(K90&lt;&gt;"",K90,L90)-J90),"")</f>
        <v/>
      </c>
      <c r="O90" s="8" t="n">
        <v>0.65</v>
      </c>
      <c r="P90" s="2" t="n"/>
      <c r="Q9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344.6300048828125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88</v>
      </c>
      <c r="J92" s="5" t="n">
        <v>51.40897145714285</v>
      </c>
      <c r="K92" s="5" t="n"/>
      <c r="L92" s="5" t="n">
        <v>51.9900016784668</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119.0899963378906</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34.65499877929688</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253.6199951171875</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69.76499938964844</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-211</v>
      </c>
      <c r="J97" s="5" t="n">
        <v>42.42360189573459</v>
      </c>
      <c r="K97" s="5" t="n"/>
      <c r="L97" s="5" t="n">
        <v>41.95999908447266</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327.8900146484375</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-3</v>
      </c>
      <c r="J99" s="5" t="n">
        <v>375.748571</v>
      </c>
      <c r="K99" s="5" t="n"/>
      <c r="L99" s="5" t="n">
        <v>359.4500122070312</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1013.700012207031</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361.6700134277344</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221.7200012207031</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399.6300048828125</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row r="172">
      <c r="A172" s="2" t="inlineStr">
        <is>
          <t>2026-10-28</t>
        </is>
      </c>
      <c r="B172" s="2" t="inlineStr">
        <is>
          <t>2026-10-30</t>
        </is>
      </c>
      <c r="C172" s="2" t="inlineStr">
        <is>
          <t>BSX</t>
        </is>
      </c>
      <c r="D172" s="2" t="inlineStr">
        <is>
          <t>rebalance</t>
        </is>
      </c>
      <c r="E172" s="2" t="inlineStr">
        <is>
          <t>sell</t>
        </is>
      </c>
      <c r="F172" s="10" t="n">
        <v>73</v>
      </c>
      <c r="G172" s="10" t="n">
        <v>73</v>
      </c>
      <c r="H172" s="2" t="inlineStr">
        <is>
          <t>market, last minute before the close (lifecycle)</t>
        </is>
      </c>
      <c r="I172" s="5" t="n">
        <v>41.855</v>
      </c>
      <c r="J172" s="2" t="inlineStr">
        <is>
          <t>filled</t>
        </is>
      </c>
      <c r="K172" s="5" t="n">
        <v>41.92</v>
      </c>
      <c r="L172" s="5" t="n"/>
      <c r="M172" s="11" t="n"/>
      <c r="N172" s="10">
        <f>IFERROR(G172*IF(K172&lt;&gt;"",K172,I172),"")</f>
        <v/>
      </c>
      <c r="O172" s="2" t="inlineStr">
        <is>
          <t>fund-lc-2026-10-30-BSX-rebalance</t>
        </is>
      </c>
    </row>
    <row r="173">
      <c r="A173" s="2" t="inlineStr">
        <is>
          <t>2026-10-28</t>
        </is>
      </c>
      <c r="B173" s="2" t="inlineStr">
        <is>
          <t>2026-10-30</t>
        </is>
      </c>
      <c r="C173" s="2" t="inlineStr">
        <is>
          <t>CRL</t>
        </is>
      </c>
      <c r="D173" s="2" t="inlineStr">
        <is>
          <t>rebalance</t>
        </is>
      </c>
      <c r="E173" s="2" t="inlineStr">
        <is>
          <t>buy</t>
        </is>
      </c>
      <c r="F173" s="10" t="n">
        <v>4</v>
      </c>
      <c r="G173" s="10" t="n">
        <v>4</v>
      </c>
      <c r="H173" s="2" t="inlineStr">
        <is>
          <t>market, last minute before the close (lifecycle)</t>
        </is>
      </c>
      <c r="I173" s="5" t="n">
        <v>359.52</v>
      </c>
      <c r="J173" s="2" t="inlineStr">
        <is>
          <t>filled</t>
        </is>
      </c>
      <c r="K173" s="5" t="n">
        <v>359.92</v>
      </c>
      <c r="L173" s="5" t="n"/>
      <c r="M173" s="11" t="n"/>
      <c r="N173" s="10">
        <f>IFERROR(G173*IF(K173&lt;&gt;"",K173,I173),"")</f>
        <v/>
      </c>
      <c r="O173" s="2" t="inlineStr">
        <is>
          <t>fund-lc-2026-10-30-CRL-rebalance</t>
        </is>
      </c>
    </row>
    <row r="174">
      <c r="A174" s="2" t="inlineStr">
        <is>
          <t>2026-10-28</t>
        </is>
      </c>
      <c r="B174" s="2" t="inlineStr">
        <is>
          <t>2026-10-30</t>
        </is>
      </c>
      <c r="C174" s="2" t="inlineStr">
        <is>
          <t>CSX</t>
        </is>
      </c>
      <c r="D174" s="2" t="inlineStr">
        <is>
          <t>rebalance</t>
        </is>
      </c>
      <c r="E174" s="2" t="inlineStr">
        <is>
          <t>sell</t>
        </is>
      </c>
      <c r="F174" s="10" t="n">
        <v>87</v>
      </c>
      <c r="G174" s="10" t="n">
        <v>87</v>
      </c>
      <c r="H174" s="2" t="inlineStr">
        <is>
          <t>market, last minute before the close (lifecycle)</t>
        </is>
      </c>
      <c r="I174" s="5" t="n">
        <v>52.05</v>
      </c>
      <c r="J174" s="2" t="inlineStr">
        <is>
          <t>filled</t>
        </is>
      </c>
      <c r="K174" s="5" t="n">
        <v>52.02999999999999</v>
      </c>
      <c r="L174" s="5" t="n"/>
      <c r="M174" s="11" t="n"/>
      <c r="N174" s="10">
        <f>IFERROR(G174*IF(K174&lt;&gt;"",K174,I174),"")</f>
        <v/>
      </c>
      <c r="O174" s="2" t="inlineStr">
        <is>
          <t>fund-lc-2026-10-30-CSX-rebalance</t>
        </is>
      </c>
    </row>
    <row r="175">
      <c r="A175" s="2" t="inlineStr">
        <is>
          <t>2026-10-28</t>
        </is>
      </c>
      <c r="B175" s="2" t="inlineStr">
        <is>
          <t>2026-10-30</t>
        </is>
      </c>
      <c r="C175" s="2" t="inlineStr">
        <is>
          <t>SPY</t>
        </is>
      </c>
      <c r="D175" s="2" t="inlineStr">
        <is>
          <t>rebalance</t>
        </is>
      </c>
      <c r="E175" s="2" t="inlineStr">
        <is>
          <t>buy</t>
        </is>
      </c>
      <c r="F175" s="10" t="n">
        <v>22</v>
      </c>
      <c r="G175" s="10" t="n">
        <v>22</v>
      </c>
      <c r="H175" s="2" t="inlineStr">
        <is>
          <t>market, last minute before the close (lifecycle)</t>
        </is>
      </c>
      <c r="I175" s="5" t="n">
        <v>754.75</v>
      </c>
      <c r="J175" s="2" t="inlineStr">
        <is>
          <t>filled</t>
        </is>
      </c>
      <c r="K175" s="5" t="n">
        <v>755.3745450000001</v>
      </c>
      <c r="L175" s="5" t="n"/>
      <c r="M175" s="11" t="n"/>
      <c r="N175" s="10">
        <f>IFERROR(G175*IF(K175&lt;&gt;"",K175,I175),"")</f>
        <v/>
      </c>
      <c r="O175" s="2" t="inlineStr">
        <is>
          <t>fund-lc-2026-10-30-SPY-rebalance</t>
        </is>
      </c>
    </row>
    <row r="176">
      <c r="A176" s="2" t="inlineStr">
        <is>
          <t>2026-10-28</t>
        </is>
      </c>
      <c r="B176" s="2" t="inlineStr">
        <is>
          <t>2026-10-30</t>
        </is>
      </c>
      <c r="C176" s="2" t="inlineStr">
        <is>
          <t>TSLA</t>
        </is>
      </c>
      <c r="D176" s="2" t="inlineStr">
        <is>
          <t>close</t>
        </is>
      </c>
      <c r="E176" s="2" t="inlineStr">
        <is>
          <t>sell</t>
        </is>
      </c>
      <c r="F176" s="10" t="n">
        <v>20</v>
      </c>
      <c r="G176" s="10" t="n">
        <v>20</v>
      </c>
      <c r="H176" s="2" t="inlineStr">
        <is>
          <t>market, last minute before the close (lifecycle)</t>
        </is>
      </c>
      <c r="I176" s="5" t="n">
        <v>399.3</v>
      </c>
      <c r="J176" s="2" t="inlineStr">
        <is>
          <t>filled</t>
        </is>
      </c>
      <c r="K176" s="5" t="n">
        <v>399.871</v>
      </c>
      <c r="L176" s="5" t="n"/>
      <c r="M176" s="11" t="n"/>
      <c r="N176" s="10">
        <f>IFERROR(G176*IF(K176&lt;&gt;"",K176,I176),"")</f>
        <v/>
      </c>
      <c r="O176" s="2" t="inlineStr">
        <is>
          <t>fund-lc-2026-10-30-TSLA-close</t>
        </is>
      </c>
    </row>
  </sheetData>
  <autoFilter ref="A1:O17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60585.62080208403</v>
      </c>
      <c r="D16" s="7">
        <f>IF(C15&gt;0,(B16-B15)/C15,"")</f>
        <v/>
      </c>
      <c r="E16" s="3">
        <f>B16-$B$2</f>
        <v/>
      </c>
      <c r="F16" s="7">
        <f>IF(C16&gt;0,E16/C16,"")</f>
        <v/>
      </c>
    </row>
    <row r="17">
      <c r="A17" s="2" t="inlineStr">
        <is>
          <t>2026-10-22</t>
        </is>
      </c>
      <c r="B17" s="12" t="n">
        <v>98528.21000000001</v>
      </c>
      <c r="C17" s="12" t="n">
        <v>105944.6850157938</v>
      </c>
      <c r="D17" s="7">
        <f>IF(C16&gt;0,(B17-B16)/C16,"")</f>
        <v/>
      </c>
      <c r="E17" s="3">
        <f>B17-$B$2</f>
        <v/>
      </c>
      <c r="F17" s="7">
        <f>IF(C17&gt;0,E17/C17,"")</f>
        <v/>
      </c>
    </row>
    <row r="18">
      <c r="A18" s="2" t="inlineStr">
        <is>
          <t>2026-10-23</t>
        </is>
      </c>
      <c r="B18" s="12" t="n">
        <v>97134.66</v>
      </c>
      <c r="C18" s="12" t="n">
        <v>98869.14501379384</v>
      </c>
      <c r="D18" s="7">
        <f>IF(C17&gt;0,(B18-B17)/C17,"")</f>
        <v/>
      </c>
      <c r="E18" s="3">
        <f>B18-$B$2</f>
        <v/>
      </c>
      <c r="F18" s="7">
        <f>IF(C18&gt;0,E18/C18,"")</f>
        <v/>
      </c>
    </row>
    <row r="19">
      <c r="A19" s="2" t="inlineStr">
        <is>
          <t>2026-10-24</t>
        </is>
      </c>
      <c r="B19" s="12" t="n">
        <v>97550.24000000001</v>
      </c>
      <c r="C19" s="12" t="n">
        <v>98869.14501379384</v>
      </c>
      <c r="D19" s="7">
        <f>IF(C18&gt;0,(B19-B18)/C18,"")</f>
        <v/>
      </c>
      <c r="E19" s="3">
        <f>B19-$B$2</f>
        <v/>
      </c>
      <c r="F19" s="7">
        <f>IF(C19&gt;0,E19/C19,"")</f>
        <v/>
      </c>
    </row>
    <row r="20">
      <c r="A20" s="2" t="inlineStr">
        <is>
          <t>2026-10-27</t>
        </is>
      </c>
      <c r="B20" s="12" t="n">
        <v>97728.81</v>
      </c>
      <c r="C20" s="12" t="n">
        <v>63615.08500957314</v>
      </c>
      <c r="D20" s="7">
        <f>IF(C19&gt;0,(B20-B19)/C19,"")</f>
        <v/>
      </c>
      <c r="E20" s="3">
        <f>B20-$B$2</f>
        <v/>
      </c>
      <c r="F20" s="7">
        <f>IF(C20&gt;0,E20/C20,"")</f>
        <v/>
      </c>
    </row>
    <row r="21">
      <c r="A21" s="2" t="inlineStr">
        <is>
          <t>2026-10-28</t>
        </is>
      </c>
      <c r="B21" s="12" t="n">
        <v>99040.77</v>
      </c>
      <c r="C21" s="12" t="n">
        <v>63615.08500957314</v>
      </c>
      <c r="D21" s="7">
        <f>IF(C20&gt;0,(B21-B20)/C20,"")</f>
        <v/>
      </c>
      <c r="E21" s="3">
        <f>B21-$B$2</f>
        <v/>
      </c>
      <c r="F21" s="7">
        <f>IF(C21&gt;0,E21/C21,"")</f>
        <v/>
      </c>
    </row>
    <row r="22">
      <c r="A22" s="2" t="inlineStr">
        <is>
          <t>2026-10-29</t>
        </is>
      </c>
      <c r="B22" s="12" t="n">
        <v>99075.08</v>
      </c>
      <c r="C22" s="12" t="n">
        <v>108535.1907305731</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2026-10-30T20:02:21Z</dcterms:created>
  <dcterms:modified xmlns:dcterms="http://purl.org/dc/terms/" xmlns:xsi="http://www.w3.org/2001/XMLSchema-instance" xsi:type="dcterms:W3CDTF">2026-10-30T20:02:29Z</dcterms:modified>
</cp:coreProperties>
</file>