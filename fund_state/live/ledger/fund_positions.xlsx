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trades'!$A$1:$H$10</definedName>
    <definedName name="_xlnm._FilterDatabase" localSheetId="3" hidden="1">'Positions'!$A$1:$Q$33</definedName>
    <definedName name="_xlnm._FilterDatabase" localSheetId="4" hidden="1">'Orders'!$A$1:$O$50</definedName>
    <definedName name="_xlnm._FilterDatabase" localSheetId="5" hidden="1">'Account'!$A$1:$F$9</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2026-10-13 09:45 ET)</t>
        </is>
      </c>
      <c r="B2" s="3" t="n">
        <v>99699.37059999999</v>
      </c>
    </row>
    <row r="3">
      <c r="A3" s="2" t="inlineStr">
        <is>
          <t>Net deposits</t>
        </is>
      </c>
      <c r="B3" s="3" t="n">
        <v>100000</v>
      </c>
    </row>
    <row r="4">
      <c r="A4" s="2" t="inlineStr">
        <is>
          <t>Account P&amp;L</t>
        </is>
      </c>
      <c r="B4" s="3">
        <f>B2-B3</f>
        <v/>
      </c>
    </row>
    <row r="5">
      <c r="A5" s="2" t="inlineStr">
        <is>
          <t>Realized P&amp;L (closed shares, FIFO)</t>
        </is>
      </c>
      <c r="B5" s="3" t="n">
        <v>18.72000000000105</v>
      </c>
    </row>
    <row r="6">
      <c r="A6" s="2" t="inlineStr">
        <is>
          <t>Unrealized P&amp;L (open shares at Alpaca marks)</t>
        </is>
      </c>
      <c r="B6" s="3" t="n">
        <v>-318.069399999999</v>
      </c>
    </row>
    <row r="7">
      <c r="A7" s="2" t="inlineStr">
        <is>
          <t>Dividends, fees &amp; interest</t>
        </is>
      </c>
      <c r="B7" s="3" t="n">
        <v>-1.28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4</v>
      </c>
      <c r="E2" s="2" t="inlineStr">
        <is>
          <t>2026-10-08</t>
        </is>
      </c>
      <c r="F2" s="5" t="n">
        <v>621.12</v>
      </c>
      <c r="G2" s="5" t="n">
        <v>587.45</v>
      </c>
      <c r="H2" s="6">
        <f>D2*G2</f>
        <v/>
      </c>
      <c r="I2" s="3">
        <f>D2*(G2-F2)</f>
        <v/>
      </c>
      <c r="J2" s="7">
        <f>IF(D2&gt;0,1,-1)*(G2/F2-1)</f>
        <v/>
      </c>
    </row>
    <row r="3">
      <c r="A3" s="2" t="inlineStr">
        <is>
          <t>AVGO</t>
        </is>
      </c>
      <c r="B3" s="2" t="inlineStr">
        <is>
          <t>Broadcom</t>
        </is>
      </c>
      <c r="C3" s="2" t="inlineStr">
        <is>
          <t>Long</t>
        </is>
      </c>
      <c r="D3" s="4" t="n">
        <v>4</v>
      </c>
      <c r="E3" s="2" t="inlineStr">
        <is>
          <t>2026-10-08</t>
        </is>
      </c>
      <c r="F3" s="5" t="n">
        <v>360.355</v>
      </c>
      <c r="G3" s="5" t="n">
        <v>355.55</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187.675</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519.85</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293.5</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354.51</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70.11</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981.39</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1179.005</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95.145</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235.99</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751.6999</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259.7342</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35.52</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225.1999</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126.505</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1434.595</v>
      </c>
      <c r="H18" s="6">
        <f>D18*G18</f>
        <v/>
      </c>
      <c r="I18" s="3">
        <f>D18*(G18-F18)</f>
        <v/>
      </c>
      <c r="J18" s="7">
        <f>IF(D18&gt;0,1,-1)*(G18/F18-1)</f>
        <v/>
      </c>
    </row>
    <row r="19">
      <c r="A19" s="2" t="inlineStr">
        <is>
          <t>SPY</t>
        </is>
      </c>
      <c r="B19" s="2" t="inlineStr">
        <is>
          <t>SPDR S&amp;P 500 ETF</t>
        </is>
      </c>
      <c r="C19" s="2" t="inlineStr">
        <is>
          <t>Short</t>
        </is>
      </c>
      <c r="D19" s="4" t="n">
        <v>-25</v>
      </c>
      <c r="E19" s="2" t="inlineStr">
        <is>
          <t>2026-10-08</t>
        </is>
      </c>
      <c r="F19" s="5" t="n">
        <v>773.95</v>
      </c>
      <c r="G19" s="5" t="n">
        <v>778.33</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709.29</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363.42</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sheetData>
  <autoFilter ref="A1:H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778.36</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1001.36</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948.025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948.025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71.23</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519.845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95.145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127.27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778.36</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4" t="n">
        <v>-25</v>
      </c>
      <c r="J11" s="5" t="n">
        <v>778.28</v>
      </c>
      <c r="K11" s="5" t="n"/>
      <c r="L11" s="5" t="n">
        <v>778.36</v>
      </c>
      <c r="M11" s="7">
        <f>IFERROR(IF(E11="Short",-1,1)*(IF(K11&lt;&gt;"",K11,L11)/J11-1),"")</f>
        <v/>
      </c>
      <c r="N11" s="6">
        <f>IFERROR(I11*(IF(K11&lt;&gt;"",K11,L11)-J11),"")</f>
        <v/>
      </c>
      <c r="O11" s="8" t="n"/>
      <c r="P11" s="2" t="n"/>
      <c r="Q11" s="9"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4" t="n">
        <v>4</v>
      </c>
      <c r="J12" s="5" t="n">
        <v>621.12</v>
      </c>
      <c r="K12" s="5" t="n"/>
      <c r="L12" s="5" t="n">
        <v>587.45</v>
      </c>
      <c r="M12" s="7">
        <f>IFERROR(IF(E12="Short",-1,1)*(IF(K12&lt;&gt;"",K12,L12)/J12-1),"")</f>
        <v/>
      </c>
      <c r="N12" s="6">
        <f>IFERROR(I12*(IF(K12&lt;&gt;"",K12,L12)-J12),"")</f>
        <v/>
      </c>
      <c r="O12" s="8" t="n">
        <v>0.55</v>
      </c>
      <c r="P12" s="2" t="inlineStr">
        <is>
          <t>weaken</t>
        </is>
      </c>
      <c r="Q1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4" t="n">
        <v>7</v>
      </c>
      <c r="J13" s="5" t="n">
        <v>360.361429</v>
      </c>
      <c r="K13" s="5" t="n">
        <v>361.53</v>
      </c>
      <c r="L13" s="5" t="n">
        <v>355.59</v>
      </c>
      <c r="M13" s="7">
        <f>IFERROR(IF(E13="Short",-1,1)*(IF(K13&lt;&gt;"",K13,L13)/J13-1),"")</f>
        <v/>
      </c>
      <c r="N13" s="6">
        <f>IFERROR(I13*(IF(K13&lt;&gt;"",K13,L13)-J13),"")</f>
        <v/>
      </c>
      <c r="O13" s="8" t="n">
        <v>0.55</v>
      </c>
      <c r="P13" s="2" t="inlineStr">
        <is>
          <t>uphold</t>
        </is>
      </c>
      <c r="Q13"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4" t="n">
        <v>4</v>
      </c>
      <c r="J14" s="5" t="n">
        <v>361.53</v>
      </c>
      <c r="K14" s="5" t="n"/>
      <c r="L14" s="5" t="n">
        <v>355.59</v>
      </c>
      <c r="M14" s="7">
        <f>IFERROR(IF(E14="Short",-1,1)*(IF(K14&lt;&gt;"",K14,L14)/J14-1),"")</f>
        <v/>
      </c>
      <c r="N14" s="6">
        <f>IFERROR(I14*(IF(K14&lt;&gt;"",K14,L14)-J14),"")</f>
        <v/>
      </c>
      <c r="O14" s="8" t="n">
        <v>0.55</v>
      </c>
      <c r="P14" s="2" t="inlineStr">
        <is>
          <t>uphold</t>
        </is>
      </c>
      <c r="Q14"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4" t="n">
        <v>33</v>
      </c>
      <c r="J15" s="5" t="n">
        <v>187.69</v>
      </c>
      <c r="K15" s="5" t="n"/>
      <c r="L15" s="5" t="n">
        <v>187.685</v>
      </c>
      <c r="M15" s="7">
        <f>IFERROR(IF(E15="Short",-1,1)*(IF(K15&lt;&gt;"",K15,L15)/J15-1),"")</f>
        <v/>
      </c>
      <c r="N15" s="6">
        <f>IFERROR(I15*(IF(K15&lt;&gt;"",K15,L15)-J15),"")</f>
        <v/>
      </c>
      <c r="O15" s="8" t="n">
        <v>0.66</v>
      </c>
      <c r="P15" s="2" t="inlineStr">
        <is>
          <t>uphold</t>
        </is>
      </c>
      <c r="Q15"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4" t="n">
        <v>10</v>
      </c>
      <c r="J16" s="5" t="n">
        <v>285.07</v>
      </c>
      <c r="K16" s="5" t="n"/>
      <c r="L16" s="5" t="n">
        <v>293.34</v>
      </c>
      <c r="M16" s="7">
        <f>IFERROR(IF(E16="Short",-1,1)*(IF(K16&lt;&gt;"",K16,L16)/J16-1),"")</f>
        <v/>
      </c>
      <c r="N16" s="6">
        <f>IFERROR(I16*(IF(K16&lt;&gt;"",K16,L16)-J16),"")</f>
        <v/>
      </c>
      <c r="O16" s="8" t="n">
        <v>0.6</v>
      </c>
      <c r="P16" s="2" t="inlineStr">
        <is>
          <t>uphold</t>
        </is>
      </c>
      <c r="Q16" s="9"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4" t="n">
        <v>9</v>
      </c>
      <c r="J17" s="5" t="n">
        <v>348.411111</v>
      </c>
      <c r="K17" s="5" t="n"/>
      <c r="L17" s="5" t="n">
        <v>354.5</v>
      </c>
      <c r="M17" s="7">
        <f>IFERROR(IF(E17="Short",-1,1)*(IF(K17&lt;&gt;"",K17,L17)/J17-1),"")</f>
        <v/>
      </c>
      <c r="N17" s="6">
        <f>IFERROR(I17*(IF(K17&lt;&gt;"",K17,L17)-J17),"")</f>
        <v/>
      </c>
      <c r="O17" s="8" t="n">
        <v>0.65</v>
      </c>
      <c r="P17" s="2" t="inlineStr">
        <is>
          <t>uphold</t>
        </is>
      </c>
      <c r="Q17"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4" t="n">
        <v>40</v>
      </c>
      <c r="J18" s="5" t="n">
        <v>70.92</v>
      </c>
      <c r="K18" s="5" t="n"/>
      <c r="L18" s="5" t="n">
        <v>70.185</v>
      </c>
      <c r="M18" s="7">
        <f>IFERROR(IF(E18="Short",-1,1)*(IF(K18&lt;&gt;"",K18,L18)/J18-1),"")</f>
        <v/>
      </c>
      <c r="N18" s="6">
        <f>IFERROR(I18*(IF(K18&lt;&gt;"",K18,L18)-J18),"")</f>
        <v/>
      </c>
      <c r="O18" s="8" t="n">
        <v>0.6</v>
      </c>
      <c r="P18" s="2" t="inlineStr">
        <is>
          <t>uphold</t>
        </is>
      </c>
      <c r="Q18"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4" t="n">
        <v>3</v>
      </c>
      <c r="J19" s="5" t="n">
        <v>1050.046667</v>
      </c>
      <c r="K19" s="5" t="n"/>
      <c r="L19" s="5" t="n">
        <v>981.13</v>
      </c>
      <c r="M19" s="7">
        <f>IFERROR(IF(E19="Short",-1,1)*(IF(K19&lt;&gt;"",K19,L19)/J19-1),"")</f>
        <v/>
      </c>
      <c r="N19" s="6">
        <f>IFERROR(I19*(IF(K19&lt;&gt;"",K19,L19)-J19),"")</f>
        <v/>
      </c>
      <c r="O19" s="8" t="n">
        <v>0.6</v>
      </c>
      <c r="P19" s="2" t="inlineStr">
        <is>
          <t>uphold</t>
        </is>
      </c>
      <c r="Q19"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4" t="n">
        <v>2</v>
      </c>
      <c r="J20" s="5" t="n">
        <v>1170.25</v>
      </c>
      <c r="K20" s="5" t="n"/>
      <c r="L20" s="5" t="n">
        <v>1179.74</v>
      </c>
      <c r="M20" s="7">
        <f>IFERROR(IF(E20="Short",-1,1)*(IF(K20&lt;&gt;"",K20,L20)/J20-1),"")</f>
        <v/>
      </c>
      <c r="N20" s="6">
        <f>IFERROR(I20*(IF(K20&lt;&gt;"",K20,L20)-J20),"")</f>
        <v/>
      </c>
      <c r="O20" s="8" t="n">
        <v>0.55</v>
      </c>
      <c r="P20" s="2" t="inlineStr">
        <is>
          <t>uphold</t>
        </is>
      </c>
      <c r="Q20"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4" t="n">
        <v>23</v>
      </c>
      <c r="J21" s="5" t="n">
        <v>274.618695</v>
      </c>
      <c r="K21" s="5" t="n"/>
      <c r="L21" s="5" t="n">
        <v>259.85</v>
      </c>
      <c r="M21" s="7">
        <f>IFERROR(IF(E21="Short",-1,1)*(IF(K21&lt;&gt;"",K21,L21)/J21-1),"")</f>
        <v/>
      </c>
      <c r="N21" s="6">
        <f>IFERROR(I21*(IF(K21&lt;&gt;"",K21,L21)-J21),"")</f>
        <v/>
      </c>
      <c r="O21" s="8" t="n">
        <v>0.68</v>
      </c>
      <c r="P21" s="2" t="inlineStr">
        <is>
          <t>uphold</t>
        </is>
      </c>
      <c r="Q21"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4" t="n">
        <v>14</v>
      </c>
      <c r="J22" s="5" t="n">
        <v>230.494286</v>
      </c>
      <c r="K22" s="5" t="n"/>
      <c r="L22" s="5" t="n">
        <v>225.19</v>
      </c>
      <c r="M22" s="7">
        <f>IFERROR(IF(E22="Short",-1,1)*(IF(K22&lt;&gt;"",K22,L22)/J22-1),"")</f>
        <v/>
      </c>
      <c r="N22" s="6">
        <f>IFERROR(I22*(IF(K22&lt;&gt;"",K22,L22)-J22),"")</f>
        <v/>
      </c>
      <c r="O22" s="8" t="n">
        <v>0.66</v>
      </c>
      <c r="P22" s="2" t="inlineStr">
        <is>
          <t>weaken</t>
        </is>
      </c>
      <c r="Q22"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4" t="n">
        <v>-4</v>
      </c>
      <c r="J23" s="5" t="n">
        <v>511.0499877929688</v>
      </c>
      <c r="K23" s="5" t="n"/>
      <c r="L23" s="5" t="n">
        <v>519.845</v>
      </c>
      <c r="M23" s="7">
        <f>IFERROR(IF(E23="Short",-1,1)*(IF(K23&lt;&gt;"",K23,L23)/J23-1),"")</f>
        <v/>
      </c>
      <c r="N23" s="6">
        <f>IFERROR(I23*(IF(K23&lt;&gt;"",K23,L23)-J23),"")</f>
        <v/>
      </c>
      <c r="O23" s="8" t="n">
        <v>0.4</v>
      </c>
      <c r="P23" s="2" t="inlineStr">
        <is>
          <t>uphold</t>
        </is>
      </c>
      <c r="Q23"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4" t="n">
        <v>-32</v>
      </c>
      <c r="J24" s="5" t="n">
        <v>92.70999999999999</v>
      </c>
      <c r="K24" s="5" t="n"/>
      <c r="L24" s="5" t="n">
        <v>95.145</v>
      </c>
      <c r="M24" s="7">
        <f>IFERROR(IF(E24="Short",-1,1)*(IF(K24&lt;&gt;"",K24,L24)/J24-1),"")</f>
        <v/>
      </c>
      <c r="N24" s="6">
        <f>IFERROR(I24*(IF(K24&lt;&gt;"",K24,L24)-J24),"")</f>
        <v/>
      </c>
      <c r="O24" s="8" t="n">
        <v>0.6</v>
      </c>
      <c r="P24" s="2" t="inlineStr">
        <is>
          <t>uphold</t>
        </is>
      </c>
      <c r="Q24" s="9"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4" t="n">
        <v>-13</v>
      </c>
      <c r="J25" s="5" t="n">
        <v>236.64</v>
      </c>
      <c r="K25" s="5" t="n"/>
      <c r="L25" s="5" t="n">
        <v>235.74</v>
      </c>
      <c r="M25" s="7">
        <f>IFERROR(IF(E25="Short",-1,1)*(IF(K25&lt;&gt;"",K25,L25)/J25-1),"")</f>
        <v/>
      </c>
      <c r="N25" s="6">
        <f>IFERROR(I25*(IF(K25&lt;&gt;"",K25,L25)-J25),"")</f>
        <v/>
      </c>
      <c r="O25" s="8" t="n">
        <v>0.6</v>
      </c>
      <c r="P25" s="2" t="inlineStr">
        <is>
          <t>uphold</t>
        </is>
      </c>
      <c r="Q25"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4" t="n">
        <v>-4</v>
      </c>
      <c r="J26" s="5" t="n">
        <v>720.8099999999999</v>
      </c>
      <c r="K26" s="5" t="n"/>
      <c r="L26" s="5" t="n">
        <v>751.52</v>
      </c>
      <c r="M26" s="7">
        <f>IFERROR(IF(E26="Short",-1,1)*(IF(K26&lt;&gt;"",K26,L26)/J26-1),"")</f>
        <v/>
      </c>
      <c r="N26" s="6">
        <f>IFERROR(I26*(IF(K26&lt;&gt;"",K26,L26)-J26),"")</f>
        <v/>
      </c>
      <c r="O26" s="8" t="n">
        <v>0.55</v>
      </c>
      <c r="P26" s="2" t="inlineStr">
        <is>
          <t>uphold</t>
        </is>
      </c>
      <c r="Q26"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4" t="n">
        <v>-187</v>
      </c>
      <c r="J27" s="5" t="n">
        <v>34.761176</v>
      </c>
      <c r="K27" s="5" t="n"/>
      <c r="L27" s="5" t="n">
        <v>35.525</v>
      </c>
      <c r="M27" s="7">
        <f>IFERROR(IF(E27="Short",-1,1)*(IF(K27&lt;&gt;"",K27,L27)/J27-1),"")</f>
        <v/>
      </c>
      <c r="N27" s="6">
        <f>IFERROR(I27*(IF(K27&lt;&gt;"",K27,L27)-J27),"")</f>
        <v/>
      </c>
      <c r="O27" s="8" t="n">
        <v>0.65</v>
      </c>
      <c r="P27" s="2" t="inlineStr">
        <is>
          <t>uphold</t>
        </is>
      </c>
      <c r="Q27"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4" t="n">
        <v>-16</v>
      </c>
      <c r="J28" s="5" t="n">
        <v>128.19</v>
      </c>
      <c r="K28" s="5" t="n">
        <v>125.99375</v>
      </c>
      <c r="L28" s="5" t="n">
        <v>126.5</v>
      </c>
      <c r="M28" s="7">
        <f>IFERROR(IF(E28="Short",-1,1)*(IF(K28&lt;&gt;"",K28,L28)/J28-1),"")</f>
        <v/>
      </c>
      <c r="N28" s="6">
        <f>IFERROR(I28*(IF(K28&lt;&gt;"",K28,L28)-J28),"")</f>
        <v/>
      </c>
      <c r="O28" s="8" t="n">
        <v>0.4</v>
      </c>
      <c r="P28" s="2" t="inlineStr">
        <is>
          <t>uphold</t>
        </is>
      </c>
      <c r="Q28"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4" t="n">
        <v>-8</v>
      </c>
      <c r="J29" s="5" t="n">
        <v>125.99375</v>
      </c>
      <c r="K29" s="5" t="n"/>
      <c r="L29" s="5" t="n">
        <v>126.5</v>
      </c>
      <c r="M29" s="7">
        <f>IFERROR(IF(E29="Short",-1,1)*(IF(K29&lt;&gt;"",K29,L29)/J29-1),"")</f>
        <v/>
      </c>
      <c r="N29" s="6">
        <f>IFERROR(I29*(IF(K29&lt;&gt;"",K29,L29)-J29),"")</f>
        <v/>
      </c>
      <c r="O29" s="8" t="n">
        <v>0.4</v>
      </c>
      <c r="P29" s="2" t="inlineStr">
        <is>
          <t>uphold</t>
        </is>
      </c>
      <c r="Q29"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4" t="n">
        <v>-1</v>
      </c>
      <c r="J30" s="5" t="n">
        <v>1609.49</v>
      </c>
      <c r="K30" s="5" t="n">
        <v>1581.73</v>
      </c>
      <c r="L30" s="5" t="n">
        <v>1435.62</v>
      </c>
      <c r="M30" s="7">
        <f>IFERROR(IF(E30="Short",-1,1)*(IF(K30&lt;&gt;"",K30,L30)/J30-1),"")</f>
        <v/>
      </c>
      <c r="N30" s="6">
        <f>IFERROR(I30*(IF(K30&lt;&gt;"",K30,L30)-J30),"")</f>
        <v/>
      </c>
      <c r="O30" s="8" t="n">
        <v>0.4</v>
      </c>
      <c r="P30" s="2" t="inlineStr">
        <is>
          <t>uphold</t>
        </is>
      </c>
      <c r="Q30"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4" t="n">
        <v>-2</v>
      </c>
      <c r="J31" s="5" t="n">
        <v>1581.73</v>
      </c>
      <c r="K31" s="5" t="n"/>
      <c r="L31" s="5" t="n">
        <v>1435.62</v>
      </c>
      <c r="M31" s="7">
        <f>IFERROR(IF(E31="Short",-1,1)*(IF(K31&lt;&gt;"",K31,L31)/J31-1),"")</f>
        <v/>
      </c>
      <c r="N31" s="6">
        <f>IFERROR(I31*(IF(K31&lt;&gt;"",K31,L31)-J31),"")</f>
        <v/>
      </c>
      <c r="O31" s="8" t="n">
        <v>0.4</v>
      </c>
      <c r="P31" s="2" t="inlineStr">
        <is>
          <t>uphold</t>
        </is>
      </c>
      <c r="Q31"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4" t="n">
        <v>-3</v>
      </c>
      <c r="J32" s="5" t="n">
        <v>775.35</v>
      </c>
      <c r="K32" s="5" t="n"/>
      <c r="L32" s="5" t="n">
        <v>709.3099999999999</v>
      </c>
      <c r="M32" s="7">
        <f>IFERROR(IF(E32="Short",-1,1)*(IF(K32&lt;&gt;"",K32,L32)/J32-1),"")</f>
        <v/>
      </c>
      <c r="N32" s="6">
        <f>IFERROR(I32*(IF(K32&lt;&gt;"",K32,L32)-J32),"")</f>
        <v/>
      </c>
      <c r="O32" s="8" t="n">
        <v>0.5</v>
      </c>
      <c r="P32" s="2" t="inlineStr">
        <is>
          <t>uphold</t>
        </is>
      </c>
      <c r="Q32"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4" t="n">
        <v>-8</v>
      </c>
      <c r="J33" s="5" t="n">
        <v>393.05</v>
      </c>
      <c r="K33" s="5" t="n"/>
      <c r="L33" s="5" t="n">
        <v>363.93</v>
      </c>
      <c r="M33" s="7">
        <f>IFERROR(IF(E33="Short",-1,1)*(IF(K33&lt;&gt;"",K33,L33)/J33-1),"")</f>
        <v/>
      </c>
      <c r="N33" s="6">
        <f>IFERROR(I33*(IF(K33&lt;&gt;"",K33,L33)-J33),"")</f>
        <v/>
      </c>
      <c r="O33" s="8" t="n">
        <v>0.6</v>
      </c>
      <c r="P33" s="2" t="inlineStr">
        <is>
          <t>uphold</t>
        </is>
      </c>
      <c r="Q33"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sheetData>
  <autoFilter ref="A1:O5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sheetData>
  <autoFilter ref="A1:F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2026-10-13T13:45:43Z</dcterms:created>
  <dcterms:modified xmlns:dcterms="http://purl.org/dc/terms/" xmlns:xsi="http://www.w3.org/2001/XMLSchema-instance" xsi:type="dcterms:W3CDTF">2026-10-13T13:45:44Z</dcterms:modified>
</cp:coreProperties>
</file>