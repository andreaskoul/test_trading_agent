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trades'!$A$1:$H$55</definedName>
    <definedName name="_xlnm._FilterDatabase" localSheetId="3" hidden="1">'Positions'!$A$1:$Q$90</definedName>
    <definedName name="_xlnm._FilterDatabase" localSheetId="4" hidden="1">'Orders'!$A$1:$O$142</definedName>
    <definedName name="_xlnm._FilterDatabase" localSheetId="5" hidden="1">'Account'!$A$1:$F$18</definedName>
    <definedName name="_xlnm._FilterDatabase" localSheetId="6" hidden="1">'Cash activity'!$A$1:$F$25</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2026-10-26 14:46 ET)</t>
        </is>
      </c>
      <c r="B2" s="3" t="n">
        <v>98207.60919999999</v>
      </c>
    </row>
    <row r="3">
      <c r="A3" s="2" t="inlineStr">
        <is>
          <t>Net deposits</t>
        </is>
      </c>
      <c r="B3" s="3" t="n">
        <v>100000</v>
      </c>
    </row>
    <row r="4">
      <c r="A4" s="2" t="inlineStr">
        <is>
          <t>Account P&amp;L</t>
        </is>
      </c>
      <c r="B4" s="3">
        <f>B2-B3</f>
        <v/>
      </c>
    </row>
    <row r="5">
      <c r="A5" s="2" t="inlineStr">
        <is>
          <t>Realized P&amp;L (closed shares, FIFO)</t>
        </is>
      </c>
      <c r="B5" s="3" t="n">
        <v>-935.8299999999981</v>
      </c>
    </row>
    <row r="6">
      <c r="A6" s="2" t="inlineStr">
        <is>
          <t>Unrealized P&amp;L (open shares at Alpaca marks)</t>
        </is>
      </c>
      <c r="B6" s="3" t="n">
        <v>-852.3208000000013</v>
      </c>
    </row>
    <row r="7">
      <c r="A7" s="2" t="inlineStr">
        <is>
          <t>Dividends, fees &amp; interest</t>
        </is>
      </c>
      <c r="B7" s="3" t="n">
        <v>-4.239999999999999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342.9299</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331.245</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188.8</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28.045</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245.11</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51.365</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117.36</v>
      </c>
      <c r="H8" s="6">
        <f>D8*G8</f>
        <v/>
      </c>
      <c r="I8" s="3">
        <f>D8*(G8-F8)</f>
        <v/>
      </c>
      <c r="J8" s="7">
        <f>IF(D8&gt;0,1,-1)*(G8/F8-1)</f>
        <v/>
      </c>
    </row>
    <row r="9">
      <c r="A9" s="2" t="inlineStr">
        <is>
          <t>LRCX</t>
        </is>
      </c>
      <c r="B9" s="2" t="inlineStr">
        <is>
          <t>LRCX</t>
        </is>
      </c>
      <c r="C9" s="2" t="inlineStr">
        <is>
          <t>Short</t>
        </is>
      </c>
      <c r="D9" s="4" t="n">
        <v>-13</v>
      </c>
      <c r="E9" s="2" t="inlineStr">
        <is>
          <t>2026-10-22</t>
        </is>
      </c>
      <c r="F9" s="5" t="n">
        <v>230.03</v>
      </c>
      <c r="G9" s="5" t="n">
        <v>240.03</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172.855</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237.5</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532.7627</v>
      </c>
      <c r="H12" s="6">
        <f>D12*G12</f>
        <v/>
      </c>
      <c r="I12" s="3">
        <f>D12*(G12-F12)</f>
        <v/>
      </c>
      <c r="J12" s="7">
        <f>IF(D12&gt;0,1,-1)*(G12/F12-1)</f>
        <v/>
      </c>
    </row>
    <row r="13">
      <c r="A13" s="2" t="inlineStr">
        <is>
          <t>NFLX</t>
        </is>
      </c>
      <c r="B13" s="2" t="inlineStr">
        <is>
          <t>NFLX</t>
        </is>
      </c>
      <c r="C13" s="2" t="inlineStr">
        <is>
          <t>Short</t>
        </is>
      </c>
      <c r="D13" s="4" t="n">
        <v>-42</v>
      </c>
      <c r="E13" s="2" t="inlineStr">
        <is>
          <t>2026-10-22</t>
        </is>
      </c>
      <c r="F13" s="5" t="n">
        <v>67.04000000000001</v>
      </c>
      <c r="G13" s="5" t="n">
        <v>63.115</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37.5705</v>
      </c>
      <c r="H14" s="6">
        <f>D14*G14</f>
        <v/>
      </c>
      <c r="I14" s="3">
        <f>D14*(G14-F14)</f>
        <v/>
      </c>
      <c r="J14" s="7">
        <f>IF(D14&gt;0,1,-1)*(G14/F14-1)</f>
        <v/>
      </c>
    </row>
    <row r="15">
      <c r="A15" s="2" t="inlineStr">
        <is>
          <t>ROL</t>
        </is>
      </c>
      <c r="B15" s="2" t="inlineStr">
        <is>
          <t>ROL</t>
        </is>
      </c>
      <c r="C15" s="2" t="inlineStr">
        <is>
          <t>Short</t>
        </is>
      </c>
      <c r="D15" s="4" t="n">
        <v>-198</v>
      </c>
      <c r="E15" s="2" t="inlineStr">
        <is>
          <t>2026-10-22</t>
        </is>
      </c>
      <c r="F15" s="5" t="n">
        <v>35.28</v>
      </c>
      <c r="G15" s="5" t="n">
        <v>34.4</v>
      </c>
      <c r="H15" s="6">
        <f>D15*G15</f>
        <v/>
      </c>
      <c r="I15" s="3">
        <f>D15*(G15-F15)</f>
        <v/>
      </c>
      <c r="J15" s="7">
        <f>IF(D15&gt;0,1,-1)*(G15/F15-1)</f>
        <v/>
      </c>
    </row>
    <row r="16">
      <c r="A16" s="2" t="inlineStr">
        <is>
          <t>SMCI</t>
        </is>
      </c>
      <c r="B16" s="2" t="inlineStr">
        <is>
          <t>SMCI</t>
        </is>
      </c>
      <c r="C16" s="2" t="inlineStr">
        <is>
          <t>Long</t>
        </is>
      </c>
      <c r="D16" s="4" t="n">
        <v>267</v>
      </c>
      <c r="E16" s="2" t="inlineStr">
        <is>
          <t>2026-10-22</t>
        </is>
      </c>
      <c r="F16" s="5" t="n">
        <v>33.45947565543072</v>
      </c>
      <c r="G16" s="5" t="n">
        <v>33.095</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765.4400000000001</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394.898</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119.76</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184.31</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sheetData>
  <autoFilter ref="A1:H5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765.4400000000001</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858.25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913.14</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913.14</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63.11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547.215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101.595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134.99</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765.4400000000001</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765.4400000000001</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765.4400000000001</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765.4400000000001</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533.08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533.08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331.245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331.245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331.245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188.71</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252.77</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317.42</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59.28</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833.625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1277.87</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237.64</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216.135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216.135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547.215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101.595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249.075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631.1799999999999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37.58</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135.41</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135.41</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1271.3</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1271.3</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660.4299999999999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362.09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331.24</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188.71</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547.215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252.77</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317.46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833.625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1277.87</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101.595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249.075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631.61</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135.41</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1271.3</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765.4450000000001</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660.4299999999999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362.09</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33.08</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318.56</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532.75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63.11</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216.135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74.515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126.34</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394.87</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533</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50.715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245.185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78.91</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59.28</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335.31</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24.655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170.135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533</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631.61</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331.24</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188.71</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237.64</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37.58</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765.4450000000001</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245.185</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532.75</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63.11</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267</v>
      </c>
      <c r="J80" s="5" t="n">
        <v>33.45947565543072</v>
      </c>
      <c r="K80" s="5" t="n"/>
      <c r="L80" s="5" t="n">
        <v>33.08</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394.87</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342.92</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28.045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51.36</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117.35</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240.005</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172.885</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-198</v>
      </c>
      <c r="J88" s="5" t="n">
        <v>35.28</v>
      </c>
      <c r="K88" s="5" t="n"/>
      <c r="L88" s="5" t="n">
        <v>34.41</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119.76</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184.27</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sheetData>
  <autoFilter ref="A1:O14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118767.9000042207</v>
      </c>
      <c r="D17" s="7">
        <f>IF(C16&gt;0,(B17-B16)/C16,"")</f>
        <v/>
      </c>
      <c r="E17" s="3">
        <f>B17-$B$2</f>
        <v/>
      </c>
      <c r="F17" s="7">
        <f>IF(C17&gt;0,E17/C17,"")</f>
        <v/>
      </c>
    </row>
    <row r="18">
      <c r="A18" s="2" t="inlineStr">
        <is>
          <t>2026-10-23</t>
        </is>
      </c>
      <c r="B18" s="12" t="n">
        <v>97134.66</v>
      </c>
      <c r="C18" s="12" t="n">
        <v>111692.3600022207</v>
      </c>
      <c r="D18" s="7">
        <f>IF(C17&gt;0,(B18-B17)/C17,"")</f>
        <v/>
      </c>
      <c r="E18" s="3">
        <f>B18-$B$2</f>
        <v/>
      </c>
      <c r="F18" s="7">
        <f>IF(C18&gt;0,E18/C18,"")</f>
        <v/>
      </c>
    </row>
  </sheetData>
  <autoFilter ref="A1:F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sheetData>
  <autoFilter ref="A1:F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2026-10-26T18:46:09Z</dcterms:created>
  <dcterms:modified xmlns:dcterms="http://purl.org/dc/terms/" xmlns:xsi="http://www.w3.org/2001/XMLSchema-instance" xsi:type="dcterms:W3CDTF">2026-10-26T18:46:16Z</dcterms:modified>
</cp:coreProperties>
</file>