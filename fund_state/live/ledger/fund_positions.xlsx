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'Positions'!$A$1:$Q$7</definedName>
    <definedName name="_xlnm._FilterDatabase" localSheetId="1" hidden="1">'Orders'!$A$1:$O$21</definedName>
    <definedName name="_xlnm._FilterDatabase" localSheetId="2" hidden="1">'Account'!$A$1:$D$4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GEV</t>
        </is>
      </c>
      <c r="C2" s="2" t="inlineStr">
        <is>
          <t>GE Vernova</t>
        </is>
      </c>
      <c r="D2" s="2" t="inlineStr">
        <is>
          <t>position</t>
        </is>
      </c>
      <c r="E2" s="2" t="inlineStr">
        <is>
          <t>Long</t>
        </is>
      </c>
      <c r="F2" s="2" t="inlineStr">
        <is>
          <t>Open</t>
        </is>
      </c>
      <c r="G2" s="2" t="inlineStr">
        <is>
          <t>2026-10-01</t>
        </is>
      </c>
      <c r="H2" s="2" t="inlineStr"/>
      <c r="I2" s="3" t="n">
        <v>2</v>
      </c>
      <c r="J2" s="4" t="n">
        <v>987.38</v>
      </c>
      <c r="K2" s="4" t="n"/>
      <c r="L2" s="4" t="n">
        <v>993.1849975585938</v>
      </c>
      <c r="M2" s="5">
        <f>IFERROR(IF(E2="Short",-1,1)*(IF(K2&lt;&gt;"",K2,L2)/J2-1),"")</f>
        <v/>
      </c>
      <c r="N2" s="6">
        <f>IFERROR(I2*(IF(K2&lt;&gt;"",K2,L2)-J2),"")</f>
        <v/>
      </c>
      <c r="O2" s="7" t="n">
        <v>0.6</v>
      </c>
      <c r="P2" s="2" t="inlineStr">
        <is>
          <t>uphold</t>
        </is>
      </c>
      <c r="Q2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3">
      <c r="A3" s="2" t="inlineStr">
        <is>
          <t>2026-09-30</t>
        </is>
      </c>
      <c r="B3" s="2" t="inlineStr">
        <is>
          <t>MU</t>
        </is>
      </c>
      <c r="C3" s="2" t="inlineStr">
        <is>
          <t>Micron Technology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1097.61</v>
      </c>
      <c r="K3" s="4" t="n"/>
      <c r="L3" s="4" t="n">
        <v>1065.22998046875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weaken</t>
        </is>
      </c>
      <c r="Q3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4">
      <c r="A4" s="2" t="inlineStr">
        <is>
          <t>2026-09-30</t>
        </is>
      </c>
      <c r="B4" s="2" t="inlineStr">
        <is>
          <t>NFLX</t>
        </is>
      </c>
      <c r="C4" s="2" t="inlineStr">
        <is>
          <t>Netflix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24</v>
      </c>
      <c r="J4" s="4" t="n">
        <v>67.84999999999999</v>
      </c>
      <c r="K4" s="4" t="n"/>
      <c r="L4" s="4" t="n">
        <v>66.72820281982422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0.55</v>
      </c>
      <c r="P4" s="2" t="inlineStr">
        <is>
          <t>uphold</t>
        </is>
      </c>
      <c r="Q4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5">
      <c r="A5" s="2" t="inlineStr">
        <is>
          <t>2026-09-30</t>
        </is>
      </c>
      <c r="B5" s="2" t="inlineStr">
        <is>
          <t>BRK.B</t>
        </is>
      </c>
      <c r="C5" s="2" t="inlineStr">
        <is>
          <t>Berkshire Hathaway</t>
        </is>
      </c>
      <c r="D5" s="2" t="inlineStr">
        <is>
          <t>position</t>
        </is>
      </c>
      <c r="E5" s="2" t="inlineStr">
        <is>
          <t>Short</t>
        </is>
      </c>
      <c r="F5" s="2" t="inlineStr">
        <is>
          <t>Open</t>
        </is>
      </c>
      <c r="G5" s="2" t="inlineStr">
        <is>
          <t>2026-10-01</t>
        </is>
      </c>
      <c r="H5" s="2" t="inlineStr"/>
      <c r="I5" s="3" t="n">
        <v>-4</v>
      </c>
      <c r="J5" s="4" t="n">
        <v>500.56</v>
      </c>
      <c r="K5" s="4" t="n"/>
      <c r="L5" s="4" t="n">
        <v>504.0299987792969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uphold</t>
        </is>
      </c>
      <c r="Q5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6">
      <c r="A6" s="2" t="inlineStr">
        <is>
          <t>2026-09-30</t>
        </is>
      </c>
      <c r="B6" s="2" t="inlineStr">
        <is>
          <t>LULU</t>
        </is>
      </c>
      <c r="C6" s="2" t="inlineStr">
        <is>
          <t>Lululemon Athletica</t>
        </is>
      </c>
      <c r="D6" s="2" t="inlineStr">
        <is>
          <t>position</t>
        </is>
      </c>
      <c r="E6" s="2" t="inlineStr">
        <is>
          <t>Short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-27</v>
      </c>
      <c r="J6" s="4" t="n">
        <v>95.87</v>
      </c>
      <c r="K6" s="4" t="n"/>
      <c r="L6" s="4" t="n">
        <v>92.69000244140625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0.6</v>
      </c>
      <c r="P6" s="2" t="inlineStr">
        <is>
          <t>uphold</t>
        </is>
      </c>
      <c r="Q6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7">
      <c r="A7" s="2" t="inlineStr">
        <is>
          <t>2026-09-30</t>
        </is>
      </c>
      <c r="B7" s="2" t="inlineStr">
        <is>
          <t>STZ</t>
        </is>
      </c>
      <c r="C7" s="2" t="inlineStr">
        <is>
          <t>Constellation Brands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-5</v>
      </c>
      <c r="J7" s="4" t="n">
        <v>112.95</v>
      </c>
      <c r="K7" s="4" t="n"/>
      <c r="L7" s="4" t="n">
        <v>112.6399993896484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0.55</v>
      </c>
      <c r="P7" s="2" t="inlineStr">
        <is>
          <t>uphold</t>
        </is>
      </c>
      <c r="Q7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</sheetData>
  <autoFilter ref="A1:D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2026-10-05T16:35:21Z</dcterms:created>
  <dcterms:modified xmlns:dcterms="http://purl.org/dc/terms/" xmlns:xsi="http://www.w3.org/2001/XMLSchema-instance" xsi:type="dcterms:W3CDTF">2026-10-05T16:35:21Z</dcterms:modified>
</cp:coreProperties>
</file>