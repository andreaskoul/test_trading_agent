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trades'!$A$1:$H$32</definedName>
    <definedName name="_xlnm._FilterDatabase" localSheetId="3" hidden="1">'Positions'!$A$1:$Q$71</definedName>
    <definedName name="_xlnm._FilterDatabase" localSheetId="4" hidden="1">'Orders'!$A$1:$O$87</definedName>
    <definedName name="_xlnm._FilterDatabase" localSheetId="5" hidden="1">'Account'!$A$1:$F$12</definedName>
    <definedName name="_xlnm._FilterDatabase" localSheetId="6" hidden="1">'Cash activity'!$A$1:$F$14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2026-10-16 10:46 ET)</t>
        </is>
      </c>
      <c r="B2" s="3" t="n">
        <v>97926.6767</v>
      </c>
    </row>
    <row r="3">
      <c r="A3" s="2" t="inlineStr">
        <is>
          <t>Net deposits</t>
        </is>
      </c>
      <c r="B3" s="3" t="n">
        <v>100000</v>
      </c>
    </row>
    <row r="4">
      <c r="A4" s="2" t="inlineStr">
        <is>
          <t>Account P&amp;L</t>
        </is>
      </c>
      <c r="B4" s="3">
        <f>B2-B3</f>
        <v/>
      </c>
    </row>
    <row r="5">
      <c r="A5" s="2" t="inlineStr">
        <is>
          <t>Realized P&amp;L (closed shares, FIFO)</t>
        </is>
      </c>
      <c r="B5" s="3" t="n">
        <v>-48.65999999999804</v>
      </c>
    </row>
    <row r="6">
      <c r="A6" s="2" t="inlineStr">
        <is>
          <t>Unrealized P&amp;L (open shares at Alpaca marks)</t>
        </is>
      </c>
      <c r="B6" s="3" t="n">
        <v>-2022.393300000002</v>
      </c>
    </row>
    <row r="7">
      <c r="A7" s="2" t="inlineStr">
        <is>
          <t>Dividends, fees &amp; interest</t>
        </is>
      </c>
      <c r="B7" s="3" t="n">
        <v>-2.27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547.9299999999999</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52.4589</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241.14</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78.37</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56.66</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342.92</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23.445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236.82</v>
      </c>
      <c r="H9" s="6">
        <f>D9*G9</f>
        <v/>
      </c>
      <c r="I9" s="3">
        <f>D9*(G9-F9)</f>
        <v/>
      </c>
      <c r="J9" s="7">
        <f>IF(D9&gt;0,1,-1)*(G9/F9-1)</f>
        <v/>
      </c>
    </row>
    <row r="10">
      <c r="A10" s="2" t="inlineStr">
        <is>
          <t>MSFT</t>
        </is>
      </c>
      <c r="B10" s="2" t="inlineStr">
        <is>
          <t>MSFT</t>
        </is>
      </c>
      <c r="C10" s="2" t="inlineStr">
        <is>
          <t>Long</t>
        </is>
      </c>
      <c r="D10" s="4" t="n">
        <v>5</v>
      </c>
      <c r="E10" s="2" t="inlineStr">
        <is>
          <t>2026-10-15</t>
        </is>
      </c>
      <c r="F10" s="5" t="n">
        <v>539.6299999999999</v>
      </c>
      <c r="G10" s="5" t="n">
        <v>536.875</v>
      </c>
      <c r="H10" s="6">
        <f>D10*G10</f>
        <v/>
      </c>
      <c r="I10" s="3">
        <f>D10*(G10-F10)</f>
        <v/>
      </c>
      <c r="J10" s="7">
        <f>IF(D10&gt;0,1,-1)*(G10/F10-1)</f>
        <v/>
      </c>
    </row>
    <row r="11">
      <c r="A11" s="2" t="inlineStr">
        <is>
          <t>NFLX</t>
        </is>
      </c>
      <c r="B11" s="2" t="inlineStr">
        <is>
          <t>NFLX</t>
        </is>
      </c>
      <c r="C11" s="2" t="inlineStr">
        <is>
          <t>Short</t>
        </is>
      </c>
      <c r="D11" s="4" t="n">
        <v>-30</v>
      </c>
      <c r="E11" s="2" t="inlineStr">
        <is>
          <t>2026-10-15</t>
        </is>
      </c>
      <c r="F11" s="5" t="n">
        <v>72.61</v>
      </c>
      <c r="G11" s="5" t="n">
        <v>71.11</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37.4095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218.4</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74.66</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131.72</v>
      </c>
      <c r="H15" s="6">
        <f>D15*G15</f>
        <v/>
      </c>
      <c r="I15" s="3">
        <f>D15*(G15-F15)</f>
        <v/>
      </c>
      <c r="J15" s="7">
        <f>IF(D15&gt;0,1,-1)*(G15/F15-1)</f>
        <v/>
      </c>
    </row>
    <row r="16">
      <c r="A16" s="2" t="inlineStr">
        <is>
          <t>SMCI</t>
        </is>
      </c>
      <c r="B16" s="2" t="inlineStr">
        <is>
          <t>SMCI</t>
        </is>
      </c>
      <c r="C16" s="2" t="inlineStr">
        <is>
          <t>Short</t>
        </is>
      </c>
      <c r="D16" s="4" t="n">
        <v>-62</v>
      </c>
      <c r="E16" s="2" t="inlineStr">
        <is>
          <t>2026-10-15</t>
        </is>
      </c>
      <c r="F16" s="5" t="n">
        <v>35.09467741935484</v>
      </c>
      <c r="G16" s="5" t="n">
        <v>33.465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166.985</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364.6038</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313.81</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772.16</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938.635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904.01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904.01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71.105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530.72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98.94</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130.495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772.16</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772.16</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772.16</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772.16</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547.625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547.625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338.79</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338.79</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338.79</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191.34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274.96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346.675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56.655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846.735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1267.095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236.84</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218.44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218.44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530.72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98.94</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242.03</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723.5700000000001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130.045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130.045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1350.37</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1350.37</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660.225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343.5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338.85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191.34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530.72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274.96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346.82</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846.735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1267.095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98.94</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242.03</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723.875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130.045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1350.37</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772.22</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660.225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343.5</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547.625</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56.67</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236.84</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37.4</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218.44</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52.45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241.035</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78.34999999999999</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342.91</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23.455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5</v>
      </c>
      <c r="J64" s="5" t="n">
        <v>539.63</v>
      </c>
      <c r="K64" s="5" t="n"/>
      <c r="L64" s="5" t="n">
        <v>536.775</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-30</v>
      </c>
      <c r="J65" s="5" t="n">
        <v>72.61</v>
      </c>
      <c r="K65" s="5" t="n"/>
      <c r="L65" s="5" t="n">
        <v>71.105</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74.87</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131.77</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-62</v>
      </c>
      <c r="J68" s="5" t="n">
        <v>35.094677</v>
      </c>
      <c r="K68" s="5" t="n"/>
      <c r="L68" s="5" t="n">
        <v>33.47</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166.64</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364.48</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313.61</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sheetData>
  <autoFilter ref="A1:O8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54804.21994470312</v>
      </c>
      <c r="D12" s="7">
        <f>IF(C11&gt;0,(B12-B11)/C11,"")</f>
        <v/>
      </c>
      <c r="E12" s="3">
        <f>B12-$B$2</f>
        <v/>
      </c>
      <c r="F12" s="7">
        <f>IF(C12&gt;0,E12/C12,"")</f>
        <v/>
      </c>
    </row>
  </sheetData>
  <autoFilter ref="A1:F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sheetData>
  <autoFilter ref="A1:F1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2026-10-16T14:46:07Z</dcterms:created>
  <dcterms:modified xmlns:dcterms="http://purl.org/dc/terms/" xmlns:xsi="http://www.w3.org/2001/XMLSchema-instance" xsi:type="dcterms:W3CDTF">2026-10-16T14:46:13Z</dcterms:modified>
</cp:coreProperties>
</file>