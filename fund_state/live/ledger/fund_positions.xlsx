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trades'!$A$1:$H$15</definedName>
    <definedName name="_xlnm._FilterDatabase" localSheetId="3" hidden="1">'Positions'!$A$1:$Q$38</definedName>
    <definedName name="_xlnm._FilterDatabase" localSheetId="4" hidden="1">'Orders'!$A$1:$O$55</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13:46 ET)</t>
        </is>
      </c>
      <c r="B2" s="3" t="n">
        <v>98087.7409</v>
      </c>
    </row>
    <row r="3">
      <c r="A3" s="2" t="inlineStr">
        <is>
          <t>Net deposits</t>
        </is>
      </c>
      <c r="B3" s="3" t="n">
        <v>100000</v>
      </c>
    </row>
    <row r="4">
      <c r="A4" s="2" t="inlineStr">
        <is>
          <t>Account P&amp;L</t>
        </is>
      </c>
      <c r="B4" s="3">
        <f>B2-B3</f>
        <v/>
      </c>
    </row>
    <row r="5">
      <c r="A5" s="2" t="inlineStr">
        <is>
          <t>Realized P&amp;L (closed shares, FIFO)</t>
        </is>
      </c>
      <c r="B5" s="3" t="n">
        <v>-86.23999999999899</v>
      </c>
    </row>
    <row r="6">
      <c r="A6" s="2" t="inlineStr">
        <is>
          <t>Unrealized P&amp;L (open shares at Alpaca marks)</t>
        </is>
      </c>
      <c r="B6" s="3" t="n">
        <v>-1824.639100000001</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2</v>
      </c>
      <c r="E2" s="2" t="inlineStr">
        <is>
          <t>2026-10-08</t>
        </is>
      </c>
      <c r="F2" s="5" t="n">
        <v>621.12</v>
      </c>
      <c r="G2" s="5" t="n">
        <v>546.355</v>
      </c>
      <c r="H2" s="6">
        <f>D2*G2</f>
        <v/>
      </c>
      <c r="I2" s="3">
        <f>D2*(G2-F2)</f>
        <v/>
      </c>
      <c r="J2" s="7">
        <f>IF(D2&gt;0,1,-1)*(G2/F2-1)</f>
        <v/>
      </c>
    </row>
    <row r="3">
      <c r="A3" s="2" t="inlineStr">
        <is>
          <t>AVGO</t>
        </is>
      </c>
      <c r="B3" s="2" t="inlineStr">
        <is>
          <t>Broadcom</t>
        </is>
      </c>
      <c r="C3" s="2" t="inlineStr">
        <is>
          <t>Long</t>
        </is>
      </c>
      <c r="D3" s="4" t="n">
        <v>2</v>
      </c>
      <c r="E3" s="2" t="inlineStr">
        <is>
          <t>2026-10-08</t>
        </is>
      </c>
      <c r="F3" s="5" t="n">
        <v>360.345</v>
      </c>
      <c r="G3" s="5" t="n">
        <v>338.715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186.615</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528.405</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274.24</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348.08</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58.99</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845.96</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1266.56</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98.81999999999999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243.21</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733.01</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235.14</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37.275</v>
      </c>
      <c r="H15" s="6">
        <f>D15*G15</f>
        <v/>
      </c>
      <c r="I15" s="3">
        <f>D15*(G15-F15)</f>
        <v/>
      </c>
      <c r="J15" s="7">
        <f>IF(D15&gt;0,1,-1)*(G15/F15-1)</f>
        <v/>
      </c>
    </row>
    <row r="16">
      <c r="A16" s="2" t="inlineStr">
        <is>
          <t>NVDA</t>
        </is>
      </c>
      <c r="B16" s="2" t="inlineStr">
        <is>
          <t>Nvidia</t>
        </is>
      </c>
      <c r="C16" s="2" t="inlineStr">
        <is>
          <t>Long</t>
        </is>
      </c>
      <c r="D16" s="4" t="n">
        <v>7</v>
      </c>
      <c r="E16" s="2" t="inlineStr">
        <is>
          <t>2026-10-08</t>
        </is>
      </c>
      <c r="F16" s="5" t="n">
        <v>230.4985714285714</v>
      </c>
      <c r="G16" s="5" t="n">
        <v>217.2</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130.505</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1344.99</v>
      </c>
      <c r="H18" s="6">
        <f>D18*G18</f>
        <v/>
      </c>
      <c r="I18" s="3">
        <f>D18*(G18-F18)</f>
        <v/>
      </c>
      <c r="J18" s="7">
        <f>IF(D18&gt;0,1,-1)*(G18/F18-1)</f>
        <v/>
      </c>
    </row>
    <row r="19">
      <c r="A19" s="2" t="inlineStr">
        <is>
          <t>SPY</t>
        </is>
      </c>
      <c r="B19" s="2" t="inlineStr">
        <is>
          <t>SPDR S&amp;P 500 ETF</t>
        </is>
      </c>
      <c r="C19" s="2" t="inlineStr">
        <is>
          <t>Short</t>
        </is>
      </c>
      <c r="D19" s="4" t="n">
        <v>-15</v>
      </c>
      <c r="E19" s="2" t="inlineStr">
        <is>
          <t>2026-10-08</t>
        </is>
      </c>
      <c r="F19" s="5" t="n">
        <v>773.95</v>
      </c>
      <c r="G19" s="5" t="n">
        <v>769.58</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673.3597</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344.99</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Broadcom</t>
        </is>
      </c>
      <c r="D11" s="2" t="inlineStr">
        <is>
          <t>Long</t>
        </is>
      </c>
      <c r="E11" s="4" t="n">
        <v>2</v>
      </c>
      <c r="F11" s="5" t="n">
        <v>360.365</v>
      </c>
      <c r="G11" s="5" t="n">
        <v>357.595</v>
      </c>
      <c r="H11" s="3">
        <f>E11*(G11-F11)</f>
        <v/>
      </c>
    </row>
    <row r="12">
      <c r="A12" s="2" t="inlineStr">
        <is>
          <t>2026-10-13</t>
        </is>
      </c>
      <c r="B12" s="2" t="inlineStr">
        <is>
          <t>AMD</t>
        </is>
      </c>
      <c r="C12" s="2" t="inlineStr">
        <is>
          <t>Advanced Micro Devices</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Nvidia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sheetData>
  <autoFilter ref="A1:H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769.5599999999999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915.37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909.1799999999999</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909.1799999999999</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72.705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528.095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98.63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129.785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769.5599999999999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769.5599999999999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769.5599999999999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771.530029296875</v>
      </c>
      <c r="L13" s="5" t="n">
        <v>769.5599999999999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545.995</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553.5599975585938</v>
      </c>
      <c r="L15" s="5" t="n">
        <v>545.995</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338.71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338.71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339.8550109863281</v>
      </c>
      <c r="L18" s="5" t="n">
        <v>338.71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186.9349975585938</v>
      </c>
      <c r="L19" s="5" t="n">
        <v>186.545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274.510009765625</v>
      </c>
      <c r="L20" s="5" t="n">
        <v>274.24</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350.3299865722656</v>
      </c>
      <c r="L21" s="5" t="n">
        <v>348.04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59.35499954223633</v>
      </c>
      <c r="L22" s="5" t="n">
        <v>58.925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852.9290161132812</v>
      </c>
      <c r="L23" s="5" t="n">
        <v>845.55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1263.430053710938</v>
      </c>
      <c r="L24" s="5" t="n">
        <v>1266.225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237.8300018310547</v>
      </c>
      <c r="L25" s="5" t="n">
        <v>235.02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218.3049926757812</v>
      </c>
      <c r="L27" s="5" t="n">
        <v>217.2</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528.239990234375</v>
      </c>
      <c r="L28" s="5" t="n">
        <v>528.095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99.68000030517578</v>
      </c>
      <c r="L29" s="5" t="n">
        <v>98.63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242.5200042724609</v>
      </c>
      <c r="L30" s="5" t="n">
        <v>243.285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741.9949951171875</v>
      </c>
      <c r="L31" s="5" t="n">
        <v>733.225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37.68999862670898</v>
      </c>
      <c r="L32" s="5" t="n">
        <v>37.26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130.51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129.9400024414062</v>
      </c>
      <c r="L34" s="5" t="n">
        <v>130.51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1344.78</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1350.579956054688</v>
      </c>
      <c r="L36" s="5" t="n">
        <v>1344.78</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675.1400146484375</v>
      </c>
      <c r="L37" s="5" t="n">
        <v>673.025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346.9800109863281</v>
      </c>
      <c r="L38" s="5" t="n">
        <v>344.97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sheetData>
  <autoFilter ref="A1:O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2026-10-15T17:46:17Z</dcterms:created>
  <dcterms:modified xmlns:dcterms="http://purl.org/dc/terms/" xmlns:xsi="http://www.w3.org/2001/XMLSchema-instance" xsi:type="dcterms:W3CDTF">2026-10-15T17:46:19Z</dcterms:modified>
</cp:coreProperties>
</file>