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sitions" sheetId="1" state="visible" r:id="rId1"/>
    <sheet xmlns:r="http://schemas.openxmlformats.org/officeDocument/2006/relationships" name="Orders" sheetId="2" state="visible" r:id="rId2"/>
    <sheet xmlns:r="http://schemas.openxmlformats.org/officeDocument/2006/relationships" name="Account" sheetId="3" state="visible" r:id="rId3"/>
    <sheet xmlns:r="http://schemas.openxmlformats.org/officeDocument/2006/relationships" name="Cash activity" sheetId="4" state="visible" r:id="rId4"/>
    <sheet xmlns:r="http://schemas.openxmlformats.org/officeDocument/2006/relationships" name="Notes" sheetId="5" state="visible" r:id="rId5"/>
  </sheets>
  <definedNames>
    <definedName name="_xlnm._FilterDatabase" localSheetId="0" hidden="1">'Positions'!$A$1:$Q$33</definedName>
    <definedName name="_xlnm._FilterDatabase" localSheetId="1" hidden="1">'Orders'!$A$1:$O$50</definedName>
    <definedName name="_xlnm._FilterDatabase" localSheetId="2" hidden="1">'Account'!$A$1:$F$8</definedName>
    <definedName name="_xlnm._FilterDatabase" localSheetId="3" hidden="1">'Cash activity'!$A$1:$F$8</definedName>
  </definedNames>
  <calcPr calcId="124519" fullCalcOnLoad="1"/>
</workbook>
</file>

<file path=xl/styles.xml><?xml version="1.0" encoding="utf-8"?>
<styleSheet xmlns="http://schemas.openxmlformats.org/spreadsheetml/2006/main">
  <numFmts count="7">
    <numFmt numFmtId="164" formatCode="#,##0;-#,##0;-"/>
    <numFmt numFmtId="165" formatCode="0.00%;-0.00%;-"/>
    <numFmt numFmtId="166" formatCode="#,##0;(#,##0);-"/>
    <numFmt numFmtId="167" formatCode="0.0"/>
    <numFmt numFmtId="168" formatCode="$#,##0"/>
    <numFmt numFmtId="169" formatCode="#,##0.00;(#,##0.00);-"/>
    <numFmt numFmtId="170" formatCode="#,##0.0000"/>
  </numFmts>
  <fonts count="3">
    <font>
      <name val="Calibri"/>
      <family val="2"/>
      <color theme="1"/>
      <sz val="11"/>
      <scheme val="minor"/>
    </font>
    <font>
      <name val="Arial"/>
      <b val="1"/>
      <color rgb="00FFFFFF"/>
      <sz val="10"/>
    </font>
    <font>
      <name val="Arial"/>
      <sz val="10"/>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14">
    <xf numFmtId="0" fontId="0" fillId="0" borderId="0" pivotButton="0" quotePrefix="0" xfId="0"/>
    <xf numFmtId="0" fontId="1" fillId="2" borderId="0" applyAlignment="1" pivotButton="0" quotePrefix="0" xfId="0">
      <alignment vertical="center" wrapText="1"/>
    </xf>
    <xf numFmtId="0" fontId="2" fillId="0" borderId="0" pivotButton="0" quotePrefix="0" xfId="0"/>
    <xf numFmtId="164" fontId="2" fillId="0" borderId="0" pivotButton="0" quotePrefix="0" xfId="0"/>
    <xf numFmtId="4" fontId="2" fillId="0" borderId="0" pivotButton="0" quotePrefix="0" xfId="0"/>
    <xf numFmtId="165" fontId="2" fillId="0" borderId="0" pivotButton="0" quotePrefix="0" xfId="0"/>
    <xf numFmtId="166" fontId="2" fillId="0" borderId="0" pivotButton="0" quotePrefix="0" xfId="0"/>
    <xf numFmtId="2" fontId="2" fillId="0" borderId="0" pivotButton="0" quotePrefix="0" xfId="0"/>
    <xf numFmtId="0" fontId="2" fillId="0" borderId="0" applyAlignment="1" pivotButton="0" quotePrefix="0" xfId="0">
      <alignment/>
    </xf>
    <xf numFmtId="3" fontId="2" fillId="0" borderId="0" pivotButton="0" quotePrefix="0" xfId="0"/>
    <xf numFmtId="167" fontId="2" fillId="0" borderId="0" pivotButton="0" quotePrefix="0" xfId="0"/>
    <xf numFmtId="168" fontId="2" fillId="0" borderId="0" pivotButton="0" quotePrefix="0" xfId="0"/>
    <xf numFmtId="169" fontId="2" fillId="0" borderId="0" pivotButton="0" quotePrefix="0" xfId="0"/>
    <xf numFmtId="17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Q3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0" customWidth="1" min="16" max="16"/>
    <col width="90" customWidth="1" min="17" max="17"/>
  </cols>
  <sheetData>
    <row r="1" ht="30" customHeight="1">
      <c r="A1" s="1" t="inlineStr">
        <is>
          <t>Week (as-of Wed)</t>
        </is>
      </c>
      <c r="B1" s="1" t="inlineStr">
        <is>
          <t>Ticker</t>
        </is>
      </c>
      <c r="C1" s="1" t="inlineStr">
        <is>
          <t>Name</t>
        </is>
      </c>
      <c r="D1" s="1" t="inlineStr">
        <is>
          <t>Role</t>
        </is>
      </c>
      <c r="E1" s="1" t="inlineStr">
        <is>
          <t>Side</t>
        </is>
      </c>
      <c r="F1" s="1" t="inlineStr">
        <is>
          <t>Status</t>
        </is>
      </c>
      <c r="G1" s="1" t="inlineStr">
        <is>
          <t>Entry day</t>
        </is>
      </c>
      <c r="H1" s="1" t="inlineStr">
        <is>
          <t>Exit day</t>
        </is>
      </c>
      <c r="I1" s="1" t="inlineStr">
        <is>
          <t>Shares (signed)</t>
        </is>
      </c>
      <c r="J1" s="1" t="inlineStr">
        <is>
          <t>Entry price ($)</t>
        </is>
      </c>
      <c r="K1" s="1" t="inlineStr">
        <is>
          <t>Exit price ($)</t>
        </is>
      </c>
      <c r="L1" s="1" t="inlineStr">
        <is>
          <t>Current price ($)</t>
        </is>
      </c>
      <c r="M1" s="1" t="inlineStr">
        <is>
          <t>Return (%)</t>
        </is>
      </c>
      <c r="N1" s="1" t="inlineStr">
        <is>
          <t>P&amp;L ($)</t>
        </is>
      </c>
      <c r="O1" s="1" t="inlineStr">
        <is>
          <t>Confidence</t>
        </is>
      </c>
      <c r="P1" s="1" t="inlineStr">
        <is>
          <t>Red team</t>
        </is>
      </c>
      <c r="Q1" s="1" t="inlineStr">
        <is>
          <t>Thesis</t>
        </is>
      </c>
    </row>
    <row r="2">
      <c r="A2" s="2" t="inlineStr">
        <is>
          <t>2026-09-30</t>
        </is>
      </c>
      <c r="B2" s="2" t="inlineStr">
        <is>
          <t>SPY</t>
        </is>
      </c>
      <c r="C2" s="2" t="inlineStr">
        <is>
          <t>SPDR S&amp;P 500 ETF</t>
        </is>
      </c>
      <c r="D2" s="2" t="inlineStr">
        <is>
          <t>beta hedge</t>
        </is>
      </c>
      <c r="E2" s="2" t="inlineStr">
        <is>
          <t>Short</t>
        </is>
      </c>
      <c r="F2" s="2" t="inlineStr">
        <is>
          <t>Closed</t>
        </is>
      </c>
      <c r="G2" s="2" t="inlineStr">
        <is>
          <t>2026-10-07</t>
        </is>
      </c>
      <c r="H2" s="2" t="inlineStr">
        <is>
          <t>2026-10-08</t>
        </is>
      </c>
      <c r="I2" s="3" t="n">
        <v>-1</v>
      </c>
      <c r="J2" s="4" t="n">
        <v>777.3</v>
      </c>
      <c r="K2" s="4" t="n">
        <v>773.95</v>
      </c>
      <c r="L2" s="4" t="n">
        <v>777.8200000000001</v>
      </c>
      <c r="M2" s="5">
        <f>IFERROR(IF(E2="Short",-1,1)*(IF(K2&lt;&gt;"",K2,L2)/J2-1),"")</f>
        <v/>
      </c>
      <c r="N2" s="6">
        <f>IFERROR(I2*(IF(K2&lt;&gt;"",K2,L2)-J2),"")</f>
        <v/>
      </c>
      <c r="O2" s="7" t="n"/>
      <c r="P2" s="2" t="n"/>
      <c r="Q2" s="8" t="inlineStr">
        <is>
          <t>SPY hedge to zero beta</t>
        </is>
      </c>
    </row>
    <row r="3">
      <c r="A3" s="2" t="inlineStr">
        <is>
          <t>2026-09-30</t>
        </is>
      </c>
      <c r="B3" s="2" t="inlineStr">
        <is>
          <t>GEV</t>
        </is>
      </c>
      <c r="C3" s="2" t="inlineStr">
        <is>
          <t>GE Vernova</t>
        </is>
      </c>
      <c r="D3" s="2" t="inlineStr">
        <is>
          <t>position</t>
        </is>
      </c>
      <c r="E3" s="2" t="inlineStr">
        <is>
          <t>Long</t>
        </is>
      </c>
      <c r="F3" s="2" t="inlineStr">
        <is>
          <t>Closed</t>
        </is>
      </c>
      <c r="G3" s="2" t="inlineStr">
        <is>
          <t>2026-10-01</t>
        </is>
      </c>
      <c r="H3" s="2" t="inlineStr">
        <is>
          <t>2026-10-08</t>
        </is>
      </c>
      <c r="I3" s="3" t="n">
        <v>2</v>
      </c>
      <c r="J3" s="4" t="n">
        <v>987.38</v>
      </c>
      <c r="K3" s="4" t="n">
        <v>998.54</v>
      </c>
      <c r="L3" s="4" t="n">
        <v>999.28</v>
      </c>
      <c r="M3" s="5">
        <f>IFERROR(IF(E3="Short",-1,1)*(IF(K3&lt;&gt;"",K3,L3)/J3-1),"")</f>
        <v/>
      </c>
      <c r="N3" s="6">
        <f>IFERROR(I3*(IF(K3&lt;&gt;"",K3,L3)-J3),"")</f>
        <v/>
      </c>
      <c r="O3" s="7" t="n">
        <v>0.6</v>
      </c>
      <c r="P3" s="2" t="inlineStr">
        <is>
          <t>uphold</t>
        </is>
      </c>
      <c r="Q3" s="8" t="inlineStr">
        <is>
          <t>NRC construction permit for GEV/Hitachi's new reactor design (Sep 29-30) is a concrete regulatory milestone that validates the nuclear growth story, whose coverage share jumped to 49% from 9%. With no earnings next week and only 1.1% gain last week, the news is not fully priced; GLJ's Sell is opinion, not information.</t>
        </is>
      </c>
    </row>
    <row r="4">
      <c r="A4" s="2" t="inlineStr">
        <is>
          <t>2026-09-30</t>
        </is>
      </c>
      <c r="B4" s="2" t="inlineStr">
        <is>
          <t>MU</t>
        </is>
      </c>
      <c r="C4" s="2" t="inlineStr">
        <is>
          <t>Micron Technology</t>
        </is>
      </c>
      <c r="D4" s="2" t="inlineStr">
        <is>
          <t>position</t>
        </is>
      </c>
      <c r="E4" s="2" t="inlineStr">
        <is>
          <t>Long</t>
        </is>
      </c>
      <c r="F4" s="2" t="inlineStr">
        <is>
          <t>Closed (daily review)</t>
        </is>
      </c>
      <c r="G4" s="2" t="inlineStr">
        <is>
          <t>2026-10-01</t>
        </is>
      </c>
      <c r="H4" s="2" t="inlineStr">
        <is>
          <t>2026-10-07</t>
        </is>
      </c>
      <c r="I4" s="3" t="n">
        <v>2</v>
      </c>
      <c r="J4" s="4" t="n">
        <v>1097.61</v>
      </c>
      <c r="K4" s="4" t="n">
        <v>1086.75</v>
      </c>
      <c r="L4" s="4" t="n">
        <v>987.39</v>
      </c>
      <c r="M4" s="5">
        <f>IFERROR(IF(E4="Short",-1,1)*(IF(K4&lt;&gt;"",K4,L4)/J4-1),"")</f>
        <v/>
      </c>
      <c r="N4" s="6">
        <f>IFERROR(I4*(IF(K4&lt;&gt;"",K4,L4)-J4),"")</f>
        <v/>
      </c>
      <c r="O4" s="7" t="n">
        <v>0.6</v>
      </c>
      <c r="P4" s="2" t="inlineStr">
        <is>
          <t>weaken</t>
        </is>
      </c>
      <c r="Q4" s="8"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5">
      <c r="A5" s="2" t="inlineStr">
        <is>
          <t>2026-09-30</t>
        </is>
      </c>
      <c r="B5" s="2" t="inlineStr">
        <is>
          <t>MU</t>
        </is>
      </c>
      <c r="C5" s="2" t="inlineStr">
        <is>
          <t>Micron Technology</t>
        </is>
      </c>
      <c r="D5" s="2" t="inlineStr">
        <is>
          <t>position</t>
        </is>
      </c>
      <c r="E5" s="2" t="inlineStr">
        <is>
          <t>Long</t>
        </is>
      </c>
      <c r="F5" s="2" t="inlineStr">
        <is>
          <t>Closed</t>
        </is>
      </c>
      <c r="G5" s="2" t="inlineStr">
        <is>
          <t>2026-10-07</t>
        </is>
      </c>
      <c r="H5" s="2" t="inlineStr">
        <is>
          <t>2026-10-08</t>
        </is>
      </c>
      <c r="I5" s="3" t="n">
        <v>1</v>
      </c>
      <c r="J5" s="4" t="n">
        <v>1086.75</v>
      </c>
      <c r="K5" s="4" t="n">
        <v>1036.16</v>
      </c>
      <c r="L5" s="4" t="n">
        <v>987.39</v>
      </c>
      <c r="M5" s="5">
        <f>IFERROR(IF(E5="Short",-1,1)*(IF(K5&lt;&gt;"",K5,L5)/J5-1),"")</f>
        <v/>
      </c>
      <c r="N5" s="6">
        <f>IFERROR(I5*(IF(K5&lt;&gt;"",K5,L5)-J5),"")</f>
        <v/>
      </c>
      <c r="O5" s="7" t="n">
        <v>0.6</v>
      </c>
      <c r="P5" s="2" t="inlineStr">
        <is>
          <t>weaken</t>
        </is>
      </c>
      <c r="Q5" s="8"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6">
      <c r="A6" s="2" t="inlineStr">
        <is>
          <t>2026-09-30</t>
        </is>
      </c>
      <c r="B6" s="2" t="inlineStr">
        <is>
          <t>NFLX</t>
        </is>
      </c>
      <c r="C6" s="2" t="inlineStr">
        <is>
          <t>Netflix</t>
        </is>
      </c>
      <c r="D6" s="2" t="inlineStr">
        <is>
          <t>position</t>
        </is>
      </c>
      <c r="E6" s="2" t="inlineStr">
        <is>
          <t>Long</t>
        </is>
      </c>
      <c r="F6" s="2" t="inlineStr">
        <is>
          <t>Closed</t>
        </is>
      </c>
      <c r="G6" s="2" t="inlineStr">
        <is>
          <t>2026-10-01</t>
        </is>
      </c>
      <c r="H6" s="2" t="inlineStr">
        <is>
          <t>2026-10-08</t>
        </is>
      </c>
      <c r="I6" s="3" t="n">
        <v>24</v>
      </c>
      <c r="J6" s="4" t="n">
        <v>67.84999999999999</v>
      </c>
      <c r="K6" s="4" t="n">
        <v>71.59</v>
      </c>
      <c r="L6" s="4" t="n">
        <v>70.745</v>
      </c>
      <c r="M6" s="5">
        <f>IFERROR(IF(E6="Short",-1,1)*(IF(K6&lt;&gt;"",K6,L6)/J6-1),"")</f>
        <v/>
      </c>
      <c r="N6" s="6">
        <f>IFERROR(I6*(IF(K6&lt;&gt;"",K6,L6)-J6),"")</f>
        <v/>
      </c>
      <c r="O6" s="7" t="n">
        <v>0.55</v>
      </c>
      <c r="P6" s="2" t="inlineStr">
        <is>
          <t>uphold</t>
        </is>
      </c>
      <c r="Q6" s="8" t="inlineStr">
        <is>
          <t>Deutsche Bank's Sep 29 upgrade to Buy is a new story now 40% of coverage, and the selloff-debate narrative is fading, suggesting a near-term bounce. But the upgrade came with a lowered target and weak engagement trends persist, capping conviction.</t>
        </is>
      </c>
    </row>
    <row r="7">
      <c r="A7" s="2" t="inlineStr">
        <is>
          <t>2026-09-30</t>
        </is>
      </c>
      <c r="B7" s="2" t="inlineStr">
        <is>
          <t>BRK.B</t>
        </is>
      </c>
      <c r="C7" s="2" t="inlineStr">
        <is>
          <t>Berkshire Hathaway</t>
        </is>
      </c>
      <c r="D7" s="2" t="inlineStr">
        <is>
          <t>position</t>
        </is>
      </c>
      <c r="E7" s="2" t="inlineStr">
        <is>
          <t>Short</t>
        </is>
      </c>
      <c r="F7" s="2" t="inlineStr">
        <is>
          <t>Closed</t>
        </is>
      </c>
      <c r="G7" s="2" t="inlineStr">
        <is>
          <t>2026-10-01</t>
        </is>
      </c>
      <c r="H7" s="2" t="inlineStr">
        <is>
          <t>2026-10-08</t>
        </is>
      </c>
      <c r="I7" s="3" t="n">
        <v>-4</v>
      </c>
      <c r="J7" s="4" t="n">
        <v>500.56</v>
      </c>
      <c r="K7" s="4" t="n">
        <v>511.0499877929688</v>
      </c>
      <c r="L7" s="4" t="n">
        <v>517.5549999999999</v>
      </c>
      <c r="M7" s="5">
        <f>IFERROR(IF(E7="Short",-1,1)*(IF(K7&lt;&gt;"",K7,L7)/J7-1),"")</f>
        <v/>
      </c>
      <c r="N7" s="6">
        <f>IFERROR(I7*(IF(K7&lt;&gt;"",K7,L7)-J7),"")</f>
        <v/>
      </c>
      <c r="O7" s="7" t="n">
        <v>0.6</v>
      </c>
      <c r="P7" s="2" t="inlineStr">
        <is>
          <t>uphold</t>
        </is>
      </c>
      <c r="Q7" s="8" t="inlineStr">
        <is>
          <t>Buffett's chairman exit and Howard's appointment add governance uncertainty, while the positive Abel/Alphabet narrative fades. Lennar stake increase is too small to offset. Expect slight underperformance next week.</t>
        </is>
      </c>
    </row>
    <row r="8">
      <c r="A8" s="2" t="inlineStr">
        <is>
          <t>2026-09-30</t>
        </is>
      </c>
      <c r="B8" s="2" t="inlineStr">
        <is>
          <t>LULU</t>
        </is>
      </c>
      <c r="C8" s="2" t="inlineStr">
        <is>
          <t>Lululemon Athletica</t>
        </is>
      </c>
      <c r="D8" s="2" t="inlineStr">
        <is>
          <t>position</t>
        </is>
      </c>
      <c r="E8" s="2" t="inlineStr">
        <is>
          <t>Short</t>
        </is>
      </c>
      <c r="F8" s="2" t="inlineStr">
        <is>
          <t>Closed</t>
        </is>
      </c>
      <c r="G8" s="2" t="inlineStr">
        <is>
          <t>2026-10-01</t>
        </is>
      </c>
      <c r="H8" s="2" t="inlineStr">
        <is>
          <t>2026-10-08</t>
        </is>
      </c>
      <c r="I8" s="3" t="n">
        <v>-27</v>
      </c>
      <c r="J8" s="4" t="n">
        <v>95.87</v>
      </c>
      <c r="K8" s="4" t="n">
        <v>92.70999999999999</v>
      </c>
      <c r="L8" s="4" t="n">
        <v>94.47499999999999</v>
      </c>
      <c r="M8" s="5">
        <f>IFERROR(IF(E8="Short",-1,1)*(IF(K8&lt;&gt;"",K8,L8)/J8-1),"")</f>
        <v/>
      </c>
      <c r="N8" s="6">
        <f>IFERROR(I8*(IF(K8&lt;&gt;"",K8,L8)-J8),"")</f>
        <v/>
      </c>
      <c r="O8" s="7" t="n">
        <v>0.6</v>
      </c>
      <c r="P8" s="2" t="inlineStr">
        <is>
          <t>uphold</t>
        </is>
      </c>
      <c r="Q8" s="8" t="inlineStr">
        <is>
          <t>Fresh Sep 30 cash-flow skepticism and Sep 25 CEO/bylaw governance changes add to negative sentiment from Sep 3 guidance cut. With no earnings next week, LULU likely underperforms as the market questions cash durability and leadership transition.</t>
        </is>
      </c>
    </row>
    <row r="9">
      <c r="A9" s="2" t="inlineStr">
        <is>
          <t>2026-09-30</t>
        </is>
      </c>
      <c r="B9" s="2" t="inlineStr">
        <is>
          <t>STZ</t>
        </is>
      </c>
      <c r="C9" s="2" t="inlineStr">
        <is>
          <t>Constellation Brands</t>
        </is>
      </c>
      <c r="D9" s="2" t="inlineStr">
        <is>
          <t>position</t>
        </is>
      </c>
      <c r="E9" s="2" t="inlineStr">
        <is>
          <t>Short</t>
        </is>
      </c>
      <c r="F9" s="2" t="inlineStr">
        <is>
          <t>Closed (daily review)</t>
        </is>
      </c>
      <c r="G9" s="2" t="inlineStr">
        <is>
          <t>2026-10-01</t>
        </is>
      </c>
      <c r="H9" s="2" t="inlineStr">
        <is>
          <t>2026-10-07</t>
        </is>
      </c>
      <c r="I9" s="3" t="n">
        <v>-5</v>
      </c>
      <c r="J9" s="4" t="n">
        <v>112.95</v>
      </c>
      <c r="K9" s="4" t="n">
        <v>118.22</v>
      </c>
      <c r="L9" s="4" t="n">
        <v>125.67</v>
      </c>
      <c r="M9" s="5">
        <f>IFERROR(IF(E9="Short",-1,1)*(IF(K9&lt;&gt;"",K9,L9)/J9-1),"")</f>
        <v/>
      </c>
      <c r="N9" s="6">
        <f>IFERROR(I9*(IF(K9&lt;&gt;"",K9,L9)-J9),"")</f>
        <v/>
      </c>
      <c r="O9" s="7" t="n">
        <v>0.55</v>
      </c>
      <c r="P9" s="2" t="inlineStr">
        <is>
          <t>uphold</t>
        </is>
      </c>
      <c r="Q9" s="8" t="inlineStr">
        <is>
          <t>New earnings story dominates: Q2 on Oct 6 expected EPS decline, negative ESP, and analyst target cuts. Selloff/outlook stories fading, but stock already down 12.8% in a month, so edge is modest. Binary event warrants lower confidence.</t>
        </is>
      </c>
    </row>
    <row r="10">
      <c r="A10" s="2" t="inlineStr">
        <is>
          <t>2026-10-07</t>
        </is>
      </c>
      <c r="B10" s="2" t="inlineStr">
        <is>
          <t>SPY</t>
        </is>
      </c>
      <c r="C10" s="2" t="inlineStr">
        <is>
          <t>SPDR S&amp;P 500 ETF</t>
        </is>
      </c>
      <c r="D10" s="2" t="inlineStr">
        <is>
          <t>beta hedge</t>
        </is>
      </c>
      <c r="E10" s="2" t="inlineStr">
        <is>
          <t>Short</t>
        </is>
      </c>
      <c r="F10" s="2" t="inlineStr">
        <is>
          <t>Closed (daily review)</t>
        </is>
      </c>
      <c r="G10" s="2" t="inlineStr">
        <is>
          <t>2026-10-08</t>
        </is>
      </c>
      <c r="H10" s="2" t="inlineStr">
        <is>
          <t>2026-10-09</t>
        </is>
      </c>
      <c r="I10" s="3" t="n">
        <v>-29</v>
      </c>
      <c r="J10" s="4" t="n">
        <v>773.95</v>
      </c>
      <c r="K10" s="4" t="n">
        <v>778.28</v>
      </c>
      <c r="L10" s="4" t="n">
        <v>777.8200000000001</v>
      </c>
      <c r="M10" s="5">
        <f>IFERROR(IF(E10="Short",-1,1)*(IF(K10&lt;&gt;"",K10,L10)/J10-1),"")</f>
        <v/>
      </c>
      <c r="N10" s="6">
        <f>IFERROR(I10*(IF(K10&lt;&gt;"",K10,L10)-J10),"")</f>
        <v/>
      </c>
      <c r="O10" s="7" t="n"/>
      <c r="P10" s="2" t="n"/>
      <c r="Q10" s="8" t="inlineStr">
        <is>
          <t>SPY hedge to zero beta</t>
        </is>
      </c>
    </row>
    <row r="11">
      <c r="A11" s="2" t="inlineStr">
        <is>
          <t>2026-10-07</t>
        </is>
      </c>
      <c r="B11" s="2" t="inlineStr">
        <is>
          <t>SPY</t>
        </is>
      </c>
      <c r="C11" s="2" t="inlineStr">
        <is>
          <t>SPDR S&amp;P 500 ETF</t>
        </is>
      </c>
      <c r="D11" s="2" t="inlineStr">
        <is>
          <t>beta hedge</t>
        </is>
      </c>
      <c r="E11" s="2" t="inlineStr">
        <is>
          <t>Short</t>
        </is>
      </c>
      <c r="F11" s="2" t="inlineStr">
        <is>
          <t>Open</t>
        </is>
      </c>
      <c r="G11" s="2" t="inlineStr">
        <is>
          <t>2026-10-09</t>
        </is>
      </c>
      <c r="H11" s="2" t="inlineStr"/>
      <c r="I11" s="3" t="n">
        <v>-25</v>
      </c>
      <c r="J11" s="4" t="n">
        <v>778.28</v>
      </c>
      <c r="K11" s="4" t="n"/>
      <c r="L11" s="4" t="n">
        <v>777.8200000000001</v>
      </c>
      <c r="M11" s="5">
        <f>IFERROR(IF(E11="Short",-1,1)*(IF(K11&lt;&gt;"",K11,L11)/J11-1),"")</f>
        <v/>
      </c>
      <c r="N11" s="6">
        <f>IFERROR(I11*(IF(K11&lt;&gt;"",K11,L11)-J11),"")</f>
        <v/>
      </c>
      <c r="O11" s="7" t="n"/>
      <c r="P11" s="2" t="n"/>
      <c r="Q11" s="8" t="inlineStr">
        <is>
          <t>SPY hedge to zero beta</t>
        </is>
      </c>
    </row>
    <row r="12">
      <c r="A12" s="2" t="inlineStr">
        <is>
          <t>2026-10-07</t>
        </is>
      </c>
      <c r="B12" s="2" t="inlineStr">
        <is>
          <t>AMD</t>
        </is>
      </c>
      <c r="C12" s="2" t="inlineStr">
        <is>
          <t>Advanced Micro Devices</t>
        </is>
      </c>
      <c r="D12" s="2" t="inlineStr">
        <is>
          <t>position</t>
        </is>
      </c>
      <c r="E12" s="2" t="inlineStr">
        <is>
          <t>Long</t>
        </is>
      </c>
      <c r="F12" s="2" t="inlineStr">
        <is>
          <t>Open</t>
        </is>
      </c>
      <c r="G12" s="2" t="inlineStr">
        <is>
          <t>2026-10-08</t>
        </is>
      </c>
      <c r="H12" s="2" t="inlineStr"/>
      <c r="I12" s="3" t="n">
        <v>4</v>
      </c>
      <c r="J12" s="4" t="n">
        <v>621.12</v>
      </c>
      <c r="K12" s="4" t="n"/>
      <c r="L12" s="4" t="n">
        <v>594</v>
      </c>
      <c r="M12" s="5">
        <f>IFERROR(IF(E12="Short",-1,1)*(IF(K12&lt;&gt;"",K12,L12)/J12-1),"")</f>
        <v/>
      </c>
      <c r="N12" s="6">
        <f>IFERROR(I12*(IF(K12&lt;&gt;"",K12,L12)-J12),"")</f>
        <v/>
      </c>
      <c r="O12" s="7" t="n">
        <v>0.55</v>
      </c>
      <c r="P12" s="2" t="inlineStr">
        <is>
          <t>weaken</t>
        </is>
      </c>
      <c r="Q12" s="8"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3">
      <c r="A13" s="2" t="inlineStr">
        <is>
          <t>2026-10-07</t>
        </is>
      </c>
      <c r="B13" s="2" t="inlineStr">
        <is>
          <t>AVGO</t>
        </is>
      </c>
      <c r="C13" s="2" t="inlineStr">
        <is>
          <t>Broadcom</t>
        </is>
      </c>
      <c r="D13" s="2" t="inlineStr">
        <is>
          <t>position</t>
        </is>
      </c>
      <c r="E13" s="2" t="inlineStr">
        <is>
          <t>Long</t>
        </is>
      </c>
      <c r="F13" s="2" t="inlineStr">
        <is>
          <t>Closed (daily review)</t>
        </is>
      </c>
      <c r="G13" s="2" t="inlineStr">
        <is>
          <t>2026-10-08</t>
        </is>
      </c>
      <c r="H13" s="2" t="inlineStr">
        <is>
          <t>2026-10-09</t>
        </is>
      </c>
      <c r="I13" s="3" t="n">
        <v>7</v>
      </c>
      <c r="J13" s="4" t="n">
        <v>360.361429</v>
      </c>
      <c r="K13" s="4" t="n">
        <v>361.53</v>
      </c>
      <c r="L13" s="4" t="n">
        <v>355.11</v>
      </c>
      <c r="M13" s="5">
        <f>IFERROR(IF(E13="Short",-1,1)*(IF(K13&lt;&gt;"",K13,L13)/J13-1),"")</f>
        <v/>
      </c>
      <c r="N13" s="6">
        <f>IFERROR(I13*(IF(K13&lt;&gt;"",K13,L13)-J13),"")</f>
        <v/>
      </c>
      <c r="O13" s="7" t="n">
        <v>0.55</v>
      </c>
      <c r="P13" s="2" t="inlineStr">
        <is>
          <t>uphold</t>
        </is>
      </c>
      <c r="Q13" s="8"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4">
      <c r="A14" s="2" t="inlineStr">
        <is>
          <t>2026-10-07</t>
        </is>
      </c>
      <c r="B14" s="2" t="inlineStr">
        <is>
          <t>AVGO</t>
        </is>
      </c>
      <c r="C14" s="2" t="inlineStr">
        <is>
          <t>Broadcom</t>
        </is>
      </c>
      <c r="D14" s="2" t="inlineStr">
        <is>
          <t>position</t>
        </is>
      </c>
      <c r="E14" s="2" t="inlineStr">
        <is>
          <t>Long</t>
        </is>
      </c>
      <c r="F14" s="2" t="inlineStr">
        <is>
          <t>Open</t>
        </is>
      </c>
      <c r="G14" s="2" t="inlineStr">
        <is>
          <t>2026-10-09</t>
        </is>
      </c>
      <c r="H14" s="2" t="inlineStr"/>
      <c r="I14" s="3" t="n">
        <v>4</v>
      </c>
      <c r="J14" s="4" t="n">
        <v>361.53</v>
      </c>
      <c r="K14" s="4" t="n"/>
      <c r="L14" s="4" t="n">
        <v>355.11</v>
      </c>
      <c r="M14" s="5">
        <f>IFERROR(IF(E14="Short",-1,1)*(IF(K14&lt;&gt;"",K14,L14)/J14-1),"")</f>
        <v/>
      </c>
      <c r="N14" s="6">
        <f>IFERROR(I14*(IF(K14&lt;&gt;"",K14,L14)-J14),"")</f>
        <v/>
      </c>
      <c r="O14" s="7" t="n">
        <v>0.55</v>
      </c>
      <c r="P14" s="2" t="inlineStr">
        <is>
          <t>uphold</t>
        </is>
      </c>
      <c r="Q14" s="8"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5">
      <c r="A15" s="2" t="inlineStr">
        <is>
          <t>2026-10-07</t>
        </is>
      </c>
      <c r="B15" s="2" t="inlineStr">
        <is>
          <t>BA</t>
        </is>
      </c>
      <c r="C15" s="2" t="inlineStr">
        <is>
          <t>Boeing</t>
        </is>
      </c>
      <c r="D15" s="2" t="inlineStr">
        <is>
          <t>position</t>
        </is>
      </c>
      <c r="E15" s="2" t="inlineStr">
        <is>
          <t>Long</t>
        </is>
      </c>
      <c r="F15" s="2" t="inlineStr">
        <is>
          <t>Open</t>
        </is>
      </c>
      <c r="G15" s="2" t="inlineStr">
        <is>
          <t>2026-10-08</t>
        </is>
      </c>
      <c r="H15" s="2" t="inlineStr"/>
      <c r="I15" s="3" t="n">
        <v>33</v>
      </c>
      <c r="J15" s="4" t="n">
        <v>187.69</v>
      </c>
      <c r="K15" s="4" t="n"/>
      <c r="L15" s="4" t="n">
        <v>189.735</v>
      </c>
      <c r="M15" s="5">
        <f>IFERROR(IF(E15="Short",-1,1)*(IF(K15&lt;&gt;"",K15,L15)/J15-1),"")</f>
        <v/>
      </c>
      <c r="N15" s="6">
        <f>IFERROR(I15*(IF(K15&lt;&gt;"",K15,L15)-J15),"")</f>
        <v/>
      </c>
      <c r="O15" s="7" t="n">
        <v>0.66</v>
      </c>
      <c r="P15" s="2" t="inlineStr">
        <is>
          <t>uphold</t>
        </is>
      </c>
      <c r="Q15" s="8" t="inlineStr">
        <is>
          <t>A cluster of material wins: the $20B Navy F/A-XX award (Oct 1), a $14.7B Lockheed PAC-3 seeker contract (Oct 6), FAA clearing the 737 MAX software glitch (Oct 2), and the SPEEA deal averting a strike (Oct 1). With BA down 8.8% on the month and 25% below its high, these catalysts are not yet priced.</t>
        </is>
      </c>
    </row>
    <row r="16">
      <c r="A16" s="2" t="inlineStr">
        <is>
          <t>2026-10-07</t>
        </is>
      </c>
      <c r="B16" s="2" t="inlineStr">
        <is>
          <t>CEG</t>
        </is>
      </c>
      <c r="C16" s="2" t="inlineStr">
        <is>
          <t>Constellation Energy</t>
        </is>
      </c>
      <c r="D16" s="2" t="inlineStr">
        <is>
          <t>position</t>
        </is>
      </c>
      <c r="E16" s="2" t="inlineStr">
        <is>
          <t>Long</t>
        </is>
      </c>
      <c r="F16" s="2" t="inlineStr">
        <is>
          <t>Open</t>
        </is>
      </c>
      <c r="G16" s="2" t="inlineStr">
        <is>
          <t>2026-10-08</t>
        </is>
      </c>
      <c r="H16" s="2" t="inlineStr"/>
      <c r="I16" s="3" t="n">
        <v>10</v>
      </c>
      <c r="J16" s="4" t="n">
        <v>285.07</v>
      </c>
      <c r="K16" s="4" t="n"/>
      <c r="L16" s="4" t="n">
        <v>293.3</v>
      </c>
      <c r="M16" s="5">
        <f>IFERROR(IF(E16="Short",-1,1)*(IF(K16&lt;&gt;"",K16,L16)/J16-1),"")</f>
        <v/>
      </c>
      <c r="N16" s="6">
        <f>IFERROR(I16*(IF(K16&lt;&gt;"",K16,L16)-J16),"")</f>
        <v/>
      </c>
      <c r="O16" s="7" t="n">
        <v>0.6</v>
      </c>
      <c r="P16" s="2" t="inlineStr">
        <is>
          <t>uphold</t>
        </is>
      </c>
      <c r="Q16" s="8" t="inlineStr">
        <is>
          <t>Google's 20-year nuclear PPA (Oct 6) and Amazon deal (Oct 1) validate CEG's AI power demand, but the +18% week already prices much of it. Expect modest relative outperformance as analysts digest the contract, not a repeat surge.</t>
        </is>
      </c>
    </row>
    <row r="17">
      <c r="A17" s="2" t="inlineStr">
        <is>
          <t>2026-10-07</t>
        </is>
      </c>
      <c r="B17" s="2" t="inlineStr">
        <is>
          <t>GOOGL</t>
        </is>
      </c>
      <c r="C17" s="2" t="inlineStr">
        <is>
          <t>Alphabet Inc. (Class A)</t>
        </is>
      </c>
      <c r="D17" s="2" t="inlineStr">
        <is>
          <t>position</t>
        </is>
      </c>
      <c r="E17" s="2" t="inlineStr">
        <is>
          <t>Long</t>
        </is>
      </c>
      <c r="F17" s="2" t="inlineStr">
        <is>
          <t>Open</t>
        </is>
      </c>
      <c r="G17" s="2" t="inlineStr">
        <is>
          <t>2026-10-08</t>
        </is>
      </c>
      <c r="H17" s="2" t="inlineStr"/>
      <c r="I17" s="3" t="n">
        <v>9</v>
      </c>
      <c r="J17" s="4" t="n">
        <v>348.411111</v>
      </c>
      <c r="K17" s="4" t="n"/>
      <c r="L17" s="4" t="n">
        <v>353.205</v>
      </c>
      <c r="M17" s="5">
        <f>IFERROR(IF(E17="Short",-1,1)*(IF(K17&lt;&gt;"",K17,L17)/J17-1),"")</f>
        <v/>
      </c>
      <c r="N17" s="6">
        <f>IFERROR(I17*(IF(K17&lt;&gt;"",K17,L17)-J17),"")</f>
        <v/>
      </c>
      <c r="O17" s="7" t="n">
        <v>0.65</v>
      </c>
      <c r="P17" s="2" t="inlineStr">
        <is>
          <t>uphold</t>
        </is>
      </c>
      <c r="Q17" s="8" t="inlineStr">
        <is>
          <t>Google's new 20-year nuclear power deal and Gemini 4 Argon launch strengthen its AI infrastructure and product position, while its Anthropic stake offers upside. These recent catalysts should support relative outperformance next week, though AI capex bubble fears and EU regulatory appeals cap gains.</t>
        </is>
      </c>
    </row>
    <row r="18">
      <c r="A18" s="2" t="inlineStr">
        <is>
          <t>2026-10-07</t>
        </is>
      </c>
      <c r="B18" s="2" t="inlineStr">
        <is>
          <t>HPE</t>
        </is>
      </c>
      <c r="C18" s="2" t="inlineStr">
        <is>
          <t>Hewlett Packard Enterprise</t>
        </is>
      </c>
      <c r="D18" s="2" t="inlineStr">
        <is>
          <t>position</t>
        </is>
      </c>
      <c r="E18" s="2" t="inlineStr">
        <is>
          <t>Long</t>
        </is>
      </c>
      <c r="F18" s="2" t="inlineStr">
        <is>
          <t>Open</t>
        </is>
      </c>
      <c r="G18" s="2" t="inlineStr">
        <is>
          <t>2026-10-08</t>
        </is>
      </c>
      <c r="H18" s="2" t="inlineStr"/>
      <c r="I18" s="3" t="n">
        <v>40</v>
      </c>
      <c r="J18" s="4" t="n">
        <v>70.92</v>
      </c>
      <c r="K18" s="4" t="n"/>
      <c r="L18" s="4" t="n">
        <v>69.98</v>
      </c>
      <c r="M18" s="5">
        <f>IFERROR(IF(E18="Short",-1,1)*(IF(K18&lt;&gt;"",K18,L18)/J18-1),"")</f>
        <v/>
      </c>
      <c r="N18" s="6">
        <f>IFERROR(I18*(IF(K18&lt;&gt;"",K18,L18)-J18),"")</f>
        <v/>
      </c>
      <c r="O18" s="7" t="n">
        <v>0.6</v>
      </c>
      <c r="P18" s="2" t="inlineStr">
        <is>
          <t>uphold</t>
        </is>
      </c>
      <c r="Q18" s="8"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t>
        </is>
      </c>
    </row>
    <row r="19">
      <c r="A19" s="2" t="inlineStr">
        <is>
          <t>2026-10-07</t>
        </is>
      </c>
      <c r="B19" s="2" t="inlineStr">
        <is>
          <t>LITE</t>
        </is>
      </c>
      <c r="C19" s="2" t="inlineStr">
        <is>
          <t>Lumentum</t>
        </is>
      </c>
      <c r="D19" s="2" t="inlineStr">
        <is>
          <t>position</t>
        </is>
      </c>
      <c r="E19" s="2" t="inlineStr">
        <is>
          <t>Long</t>
        </is>
      </c>
      <c r="F19" s="2" t="inlineStr">
        <is>
          <t>Open</t>
        </is>
      </c>
      <c r="G19" s="2" t="inlineStr">
        <is>
          <t>2026-10-08</t>
        </is>
      </c>
      <c r="H19" s="2" t="inlineStr"/>
      <c r="I19" s="3" t="n">
        <v>3</v>
      </c>
      <c r="J19" s="4" t="n">
        <v>1050.046667</v>
      </c>
      <c r="K19" s="4" t="n"/>
      <c r="L19" s="4" t="n">
        <v>992.99</v>
      </c>
      <c r="M19" s="5">
        <f>IFERROR(IF(E19="Short",-1,1)*(IF(K19&lt;&gt;"",K19,L19)/J19-1),"")</f>
        <v/>
      </c>
      <c r="N19" s="6">
        <f>IFERROR(I19*(IF(K19&lt;&gt;"",K19,L19)-J19),"")</f>
        <v/>
      </c>
      <c r="O19" s="7" t="n">
        <v>0.6</v>
      </c>
      <c r="P19" s="2" t="inlineStr">
        <is>
          <t>uphold</t>
        </is>
      </c>
      <c r="Q19" s="8" t="inlineStr">
        <is>
          <t>AI optics rally narrative is new and rising (42% share) on Nvidia CPO demand acceleration and potential US curbs on Chinese transceivers, supporting relative upside. But +14% week and near 52-week high price much in; no earnings next week. Expect moderate outperformance, not explosive.</t>
        </is>
      </c>
    </row>
    <row r="20">
      <c r="A20" s="2" t="inlineStr">
        <is>
          <t>2026-10-07</t>
        </is>
      </c>
      <c r="B20" s="2" t="inlineStr">
        <is>
          <t>LLY</t>
        </is>
      </c>
      <c r="C20" s="2" t="inlineStr">
        <is>
          <t>Lilly (Eli)</t>
        </is>
      </c>
      <c r="D20" s="2" t="inlineStr">
        <is>
          <t>position</t>
        </is>
      </c>
      <c r="E20" s="2" t="inlineStr">
        <is>
          <t>Long</t>
        </is>
      </c>
      <c r="F20" s="2" t="inlineStr">
        <is>
          <t>Open</t>
        </is>
      </c>
      <c r="G20" s="2" t="inlineStr">
        <is>
          <t>2026-10-08</t>
        </is>
      </c>
      <c r="H20" s="2" t="inlineStr"/>
      <c r="I20" s="3" t="n">
        <v>2</v>
      </c>
      <c r="J20" s="4" t="n">
        <v>1170.25</v>
      </c>
      <c r="K20" s="4" t="n"/>
      <c r="L20" s="4" t="n">
        <v>1184.81</v>
      </c>
      <c r="M20" s="5">
        <f>IFERROR(IF(E20="Short",-1,1)*(IF(K20&lt;&gt;"",K20,L20)/J20-1),"")</f>
        <v/>
      </c>
      <c r="N20" s="6">
        <f>IFERROR(I20*(IF(K20&lt;&gt;"",K20,L20)-J20),"")</f>
        <v/>
      </c>
      <c r="O20" s="7" t="n">
        <v>0.55</v>
      </c>
      <c r="P20" s="2" t="inlineStr">
        <is>
          <t>uphold</t>
        </is>
      </c>
      <c r="Q20" s="8" t="inlineStr">
        <is>
          <t>Net-positive news flow: FDA expanded Jaypirca label (Oct 2), Gate Bioscience deal up to $870M (Oct 5), and Foundayo/retatrutide data reinforce GLP-1 leadership vs Novo. Foghorn cancer-deal termination is minor and mostly hits Foghorn. Stock already up 2.7% on the week, so the edge is modest.</t>
        </is>
      </c>
    </row>
    <row r="21">
      <c r="A21" s="2" t="inlineStr">
        <is>
          <t>2026-10-07</t>
        </is>
      </c>
      <c r="B21" s="2" t="inlineStr">
        <is>
          <t>MRVL</t>
        </is>
      </c>
      <c r="C21" s="2" t="inlineStr">
        <is>
          <t>Marvell Technology</t>
        </is>
      </c>
      <c r="D21" s="2" t="inlineStr">
        <is>
          <t>position</t>
        </is>
      </c>
      <c r="E21" s="2" t="inlineStr">
        <is>
          <t>Long</t>
        </is>
      </c>
      <c r="F21" s="2" t="inlineStr">
        <is>
          <t>Open</t>
        </is>
      </c>
      <c r="G21" s="2" t="inlineStr">
        <is>
          <t>2026-10-08</t>
        </is>
      </c>
      <c r="H21" s="2" t="inlineStr"/>
      <c r="I21" s="3" t="n">
        <v>23</v>
      </c>
      <c r="J21" s="4" t="n">
        <v>274.618695</v>
      </c>
      <c r="K21" s="4" t="n"/>
      <c r="L21" s="4" t="n">
        <v>266.79</v>
      </c>
      <c r="M21" s="5">
        <f>IFERROR(IF(E21="Short",-1,1)*(IF(K21&lt;&gt;"",K21,L21)/J21-1),"")</f>
        <v/>
      </c>
      <c r="N21" s="6">
        <f>IFERROR(I21*(IF(K21&lt;&gt;"",K21,L21)-J21),"")</f>
        <v/>
      </c>
      <c r="O21" s="7" t="n">
        <v>0.68</v>
      </c>
      <c r="P21" s="2" t="inlineStr">
        <is>
          <t>uphold</t>
        </is>
      </c>
      <c r="Q21" s="8"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t>
        </is>
      </c>
    </row>
    <row r="22">
      <c r="A22" s="2" t="inlineStr">
        <is>
          <t>2026-10-07</t>
        </is>
      </c>
      <c r="B22" s="2" t="inlineStr">
        <is>
          <t>NVDA</t>
        </is>
      </c>
      <c r="C22" s="2" t="inlineStr">
        <is>
          <t>Nvidia</t>
        </is>
      </c>
      <c r="D22" s="2" t="inlineStr">
        <is>
          <t>position</t>
        </is>
      </c>
      <c r="E22" s="2" t="inlineStr">
        <is>
          <t>Long</t>
        </is>
      </c>
      <c r="F22" s="2" t="inlineStr">
        <is>
          <t>Open</t>
        </is>
      </c>
      <c r="G22" s="2" t="inlineStr">
        <is>
          <t>2026-10-08</t>
        </is>
      </c>
      <c r="H22" s="2" t="inlineStr"/>
      <c r="I22" s="3" t="n">
        <v>14</v>
      </c>
      <c r="J22" s="4" t="n">
        <v>230.494286</v>
      </c>
      <c r="K22" s="4" t="n"/>
      <c r="L22" s="4" t="n">
        <v>226.81</v>
      </c>
      <c r="M22" s="5">
        <f>IFERROR(IF(E22="Short",-1,1)*(IF(K22&lt;&gt;"",K22,L22)/J22-1),"")</f>
        <v/>
      </c>
      <c r="N22" s="6">
        <f>IFERROR(I22*(IF(K22&lt;&gt;"",K22,L22)-J22),"")</f>
        <v/>
      </c>
      <c r="O22" s="7" t="n">
        <v>0.66</v>
      </c>
      <c r="P22" s="2" t="inlineStr">
        <is>
          <t>weaken</t>
        </is>
      </c>
      <c r="Q22" s="8"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3">
      <c r="A23" s="2" t="inlineStr">
        <is>
          <t>2026-10-07</t>
        </is>
      </c>
      <c r="B23" s="2" t="inlineStr">
        <is>
          <t>BRK.B</t>
        </is>
      </c>
      <c r="C23" s="2" t="inlineStr">
        <is>
          <t>Berkshire Hathaway</t>
        </is>
      </c>
      <c r="D23" s="2" t="inlineStr">
        <is>
          <t>position</t>
        </is>
      </c>
      <c r="E23" s="2" t="inlineStr">
        <is>
          <t>Short</t>
        </is>
      </c>
      <c r="F23" s="2" t="inlineStr">
        <is>
          <t>Open</t>
        </is>
      </c>
      <c r="G23" s="2" t="inlineStr">
        <is>
          <t>2026-10-08</t>
        </is>
      </c>
      <c r="H23" s="2" t="inlineStr"/>
      <c r="I23" s="3" t="n">
        <v>-4</v>
      </c>
      <c r="J23" s="4" t="n">
        <v>511.0499877929688</v>
      </c>
      <c r="K23" s="4" t="n"/>
      <c r="L23" s="4" t="n">
        <v>517.5549999999999</v>
      </c>
      <c r="M23" s="5">
        <f>IFERROR(IF(E23="Short",-1,1)*(IF(K23&lt;&gt;"",K23,L23)/J23-1),"")</f>
        <v/>
      </c>
      <c r="N23" s="6">
        <f>IFERROR(I23*(IF(K23&lt;&gt;"",K23,L23)-J23),"")</f>
        <v/>
      </c>
      <c r="O23" s="7" t="n">
        <v>0.4</v>
      </c>
      <c r="P23" s="2" t="inlineStr">
        <is>
          <t>uphold</t>
        </is>
      </c>
      <c r="Q23" s="8" t="inlineStr">
        <is>
          <t>New subsidiary story [9] surges to 22% share, led by Texas AG civil investigative demands into Fruit of the Loom (Oct 07) over toxic chemicals—a fresh regulatory risk. Combined with skepticism over Abel's Lennar buying (Oct 06), slight negative for BRK.B next week.</t>
        </is>
      </c>
    </row>
    <row r="24">
      <c r="A24" s="2" t="inlineStr">
        <is>
          <t>2026-10-07</t>
        </is>
      </c>
      <c r="B24" s="2" t="inlineStr">
        <is>
          <t>LULU</t>
        </is>
      </c>
      <c r="C24" s="2" t="inlineStr">
        <is>
          <t>Lululemon Athletica</t>
        </is>
      </c>
      <c r="D24" s="2" t="inlineStr">
        <is>
          <t>position</t>
        </is>
      </c>
      <c r="E24" s="2" t="inlineStr">
        <is>
          <t>Short</t>
        </is>
      </c>
      <c r="F24" s="2" t="inlineStr">
        <is>
          <t>Open</t>
        </is>
      </c>
      <c r="G24" s="2" t="inlineStr">
        <is>
          <t>2026-10-08</t>
        </is>
      </c>
      <c r="H24" s="2" t="inlineStr"/>
      <c r="I24" s="3" t="n">
        <v>-32</v>
      </c>
      <c r="J24" s="4" t="n">
        <v>92.70999999999999</v>
      </c>
      <c r="K24" s="4" t="n"/>
      <c r="L24" s="4" t="n">
        <v>94.47499999999999</v>
      </c>
      <c r="M24" s="5">
        <f>IFERROR(IF(E24="Short",-1,1)*(IF(K24&lt;&gt;"",K24,L24)/J24-1),"")</f>
        <v/>
      </c>
      <c r="N24" s="6">
        <f>IFERROR(I24*(IF(K24&lt;&gt;"",K24,L24)-J24),"")</f>
        <v/>
      </c>
      <c r="O24" s="7" t="n">
        <v>0.6</v>
      </c>
      <c r="P24" s="2" t="inlineStr">
        <is>
          <t>uphold</t>
        </is>
      </c>
      <c r="Q24" s="8" t="inlineStr">
        <is>
          <t>Burry sold LULU for tax-loss harvesting and swapped to Deckers (Oct 6), a negative flow signal. Oct 7 leadership overhaul adds uncertainty; stock at 52-week low with no earnings catalyst. Valuation debate fading. Expect underperformance next week.</t>
        </is>
      </c>
    </row>
    <row r="25">
      <c r="A25" s="2" t="inlineStr">
        <is>
          <t>2026-10-07</t>
        </is>
      </c>
      <c r="B25" s="2" t="inlineStr">
        <is>
          <t>MCD</t>
        </is>
      </c>
      <c r="C25" s="2" t="inlineStr">
        <is>
          <t>McDonald's</t>
        </is>
      </c>
      <c r="D25" s="2" t="inlineStr">
        <is>
          <t>position</t>
        </is>
      </c>
      <c r="E25" s="2" t="inlineStr">
        <is>
          <t>Short</t>
        </is>
      </c>
      <c r="F25" s="2" t="inlineStr">
        <is>
          <t>Open</t>
        </is>
      </c>
      <c r="G25" s="2" t="inlineStr">
        <is>
          <t>2026-10-08</t>
        </is>
      </c>
      <c r="H25" s="2" t="inlineStr"/>
      <c r="I25" s="3" t="n">
        <v>-13</v>
      </c>
      <c r="J25" s="4" t="n">
        <v>236.64</v>
      </c>
      <c r="K25" s="4" t="n"/>
      <c r="L25" s="4" t="n">
        <v>235.75</v>
      </c>
      <c r="M25" s="5">
        <f>IFERROR(IF(E25="Short",-1,1)*(IF(K25&lt;&gt;"",K25,L25)/J25-1),"")</f>
        <v/>
      </c>
      <c r="N25" s="6">
        <f>IFERROR(I25*(IF(K25&lt;&gt;"",K25,L25)-J25),"")</f>
        <v/>
      </c>
      <c r="O25" s="7" t="n">
        <v>0.6</v>
      </c>
      <c r="P25" s="2" t="inlineStr">
        <is>
          <t>uphold</t>
        </is>
      </c>
      <c r="Q25" s="8" t="inlineStr">
        <is>
          <t>New AI pricing antitrust lawsuit (Oct 5-7) adds legal overhang to MCD's already weak sentiment. Franchisee pushback on $8.5B overhaul and analyst skepticism on strategy update suggest continued underperformance next week. Stock is oversold but negative news is fresh.</t>
        </is>
      </c>
    </row>
    <row r="26">
      <c r="A26" s="2" t="inlineStr">
        <is>
          <t>2026-10-07</t>
        </is>
      </c>
      <c r="B26" s="2" t="inlineStr">
        <is>
          <t>META</t>
        </is>
      </c>
      <c r="C26" s="2" t="inlineStr">
        <is>
          <t>Meta Platforms</t>
        </is>
      </c>
      <c r="D26" s="2" t="inlineStr">
        <is>
          <t>position</t>
        </is>
      </c>
      <c r="E26" s="2" t="inlineStr">
        <is>
          <t>Short</t>
        </is>
      </c>
      <c r="F26" s="2" t="inlineStr">
        <is>
          <t>Open</t>
        </is>
      </c>
      <c r="G26" s="2" t="inlineStr">
        <is>
          <t>2026-10-08</t>
        </is>
      </c>
      <c r="H26" s="2" t="inlineStr"/>
      <c r="I26" s="3" t="n">
        <v>-4</v>
      </c>
      <c r="J26" s="4" t="n">
        <v>720.8099999999999</v>
      </c>
      <c r="K26" s="4" t="n"/>
      <c r="L26" s="4" t="n">
        <v>743.49</v>
      </c>
      <c r="M26" s="5">
        <f>IFERROR(IF(E26="Short",-1,1)*(IF(K26&lt;&gt;"",K26,L26)/J26-1),"")</f>
        <v/>
      </c>
      <c r="N26" s="6">
        <f>IFERROR(I26*(IF(K26&lt;&gt;"",K26,L26)-J26),"")</f>
        <v/>
      </c>
      <c r="O26" s="7" t="n">
        <v>0.55</v>
      </c>
      <c r="P26" s="2" t="inlineStr">
        <is>
          <t>uphold</t>
        </is>
      </c>
      <c r="Q26" s="8" t="inlineStr">
        <is>
          <t>Muse's 27% run has priced in the AI-agent upside (story share fading 28%-&gt;19%), while two negative overhangs are rising: New Mexico seeks up to $40B with a ruling due this month, and Ofcom opened a UK probe Oct 6. Capex-debt worries (Meta owes $22B more than it holds) add pressure. Risk skewed down near-term.</t>
        </is>
      </c>
    </row>
    <row r="27">
      <c r="A27" s="2" t="inlineStr">
        <is>
          <t>2026-10-07</t>
        </is>
      </c>
      <c r="B27" s="2" t="inlineStr">
        <is>
          <t>NKE</t>
        </is>
      </c>
      <c r="C27" s="2" t="inlineStr">
        <is>
          <t>Nike, Inc.</t>
        </is>
      </c>
      <c r="D27" s="2" t="inlineStr">
        <is>
          <t>position</t>
        </is>
      </c>
      <c r="E27" s="2" t="inlineStr">
        <is>
          <t>Short</t>
        </is>
      </c>
      <c r="F27" s="2" t="inlineStr">
        <is>
          <t>Open</t>
        </is>
      </c>
      <c r="G27" s="2" t="inlineStr">
        <is>
          <t>2026-10-08</t>
        </is>
      </c>
      <c r="H27" s="2" t="inlineStr"/>
      <c r="I27" s="3" t="n">
        <v>-187</v>
      </c>
      <c r="J27" s="4" t="n">
        <v>34.761176</v>
      </c>
      <c r="K27" s="4" t="n"/>
      <c r="L27" s="4" t="n">
        <v>35.325</v>
      </c>
      <c r="M27" s="5">
        <f>IFERROR(IF(E27="Short",-1,1)*(IF(K27&lt;&gt;"",K27,L27)/J27-1),"")</f>
        <v/>
      </c>
      <c r="N27" s="6">
        <f>IFERROR(I27*(IF(K27&lt;&gt;"",K27,L27)-J27),"")</f>
        <v/>
      </c>
      <c r="O27" s="7" t="n">
        <v>0.65</v>
      </c>
      <c r="P27" s="2" t="inlineStr">
        <is>
          <t>uphold</t>
        </is>
      </c>
      <c r="Q27" s="8" t="inlineStr">
        <is>
          <t>Nike's Q1 revenue miss and weak FY27 guidance (Oct 1) triggered analyst downgrades and PT cuts, with China reset and turnaround doubts persisting. Despite a 12-year low, negative news flow and rising 'stock collapse' coverage suggest NKE underperforms peers next week.</t>
        </is>
      </c>
    </row>
    <row r="28">
      <c r="A28" s="2" t="inlineStr">
        <is>
          <t>2026-10-07</t>
        </is>
      </c>
      <c r="B28" s="2" t="inlineStr">
        <is>
          <t>PEP</t>
        </is>
      </c>
      <c r="C28" s="2" t="inlineStr">
        <is>
          <t>PepsiCo</t>
        </is>
      </c>
      <c r="D28" s="2" t="inlineStr">
        <is>
          <t>position</t>
        </is>
      </c>
      <c r="E28" s="2" t="inlineStr">
        <is>
          <t>Short</t>
        </is>
      </c>
      <c r="F28" s="2" t="inlineStr">
        <is>
          <t>Closed (daily review)</t>
        </is>
      </c>
      <c r="G28" s="2" t="inlineStr">
        <is>
          <t>2026-10-08</t>
        </is>
      </c>
      <c r="H28" s="2" t="inlineStr">
        <is>
          <t>2026-10-09</t>
        </is>
      </c>
      <c r="I28" s="3" t="n">
        <v>-16</v>
      </c>
      <c r="J28" s="4" t="n">
        <v>128.19</v>
      </c>
      <c r="K28" s="4" t="n">
        <v>125.99375</v>
      </c>
      <c r="L28" s="4" t="n">
        <v>126.74</v>
      </c>
      <c r="M28" s="5">
        <f>IFERROR(IF(E28="Short",-1,1)*(IF(K28&lt;&gt;"",K28,L28)/J28-1),"")</f>
        <v/>
      </c>
      <c r="N28" s="6">
        <f>IFERROR(I28*(IF(K28&lt;&gt;"",K28,L28)-J28),"")</f>
        <v/>
      </c>
      <c r="O28" s="7" t="n">
        <v>0.4</v>
      </c>
      <c r="P28" s="2" t="inlineStr">
        <is>
          <t>uphold</t>
        </is>
      </c>
      <c r="Q28" s="8"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29">
      <c r="A29" s="2" t="inlineStr">
        <is>
          <t>2026-10-07</t>
        </is>
      </c>
      <c r="B29" s="2" t="inlineStr">
        <is>
          <t>PEP</t>
        </is>
      </c>
      <c r="C29" s="2" t="inlineStr">
        <is>
          <t>PepsiCo</t>
        </is>
      </c>
      <c r="D29" s="2" t="inlineStr">
        <is>
          <t>position</t>
        </is>
      </c>
      <c r="E29" s="2" t="inlineStr">
        <is>
          <t>Short</t>
        </is>
      </c>
      <c r="F29" s="2" t="inlineStr">
        <is>
          <t>Open</t>
        </is>
      </c>
      <c r="G29" s="2" t="inlineStr">
        <is>
          <t>2026-10-09</t>
        </is>
      </c>
      <c r="H29" s="2" t="inlineStr"/>
      <c r="I29" s="3" t="n">
        <v>-8</v>
      </c>
      <c r="J29" s="4" t="n">
        <v>125.99375</v>
      </c>
      <c r="K29" s="4" t="n"/>
      <c r="L29" s="4" t="n">
        <v>126.74</v>
      </c>
      <c r="M29" s="5">
        <f>IFERROR(IF(E29="Short",-1,1)*(IF(K29&lt;&gt;"",K29,L29)/J29-1),"")</f>
        <v/>
      </c>
      <c r="N29" s="6">
        <f>IFERROR(I29*(IF(K29&lt;&gt;"",K29,L29)-J29),"")</f>
        <v/>
      </c>
      <c r="O29" s="7" t="n">
        <v>0.4</v>
      </c>
      <c r="P29" s="2" t="inlineStr">
        <is>
          <t>uphold</t>
        </is>
      </c>
      <c r="Q29" s="8"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0">
      <c r="A30" s="2" t="inlineStr">
        <is>
          <t>2026-10-07</t>
        </is>
      </c>
      <c r="B30" s="2" t="inlineStr">
        <is>
          <t>SNDK</t>
        </is>
      </c>
      <c r="C30" s="2" t="inlineStr">
        <is>
          <t>Sandisk</t>
        </is>
      </c>
      <c r="D30" s="2" t="inlineStr">
        <is>
          <t>position</t>
        </is>
      </c>
      <c r="E30" s="2" t="inlineStr">
        <is>
          <t>Short</t>
        </is>
      </c>
      <c r="F30" s="2" t="inlineStr">
        <is>
          <t>Closed (daily review)</t>
        </is>
      </c>
      <c r="G30" s="2" t="inlineStr">
        <is>
          <t>2026-10-08</t>
        </is>
      </c>
      <c r="H30" s="2" t="inlineStr">
        <is>
          <t>2026-10-09</t>
        </is>
      </c>
      <c r="I30" s="3" t="n">
        <v>-1</v>
      </c>
      <c r="J30" s="4" t="n">
        <v>1609.49</v>
      </c>
      <c r="K30" s="4" t="n">
        <v>1581.73</v>
      </c>
      <c r="L30" s="4" t="n">
        <v>1488.41</v>
      </c>
      <c r="M30" s="5">
        <f>IFERROR(IF(E30="Short",-1,1)*(IF(K30&lt;&gt;"",K30,L30)/J30-1),"")</f>
        <v/>
      </c>
      <c r="N30" s="6">
        <f>IFERROR(I30*(IF(K30&lt;&gt;"",K30,L30)-J30),"")</f>
        <v/>
      </c>
      <c r="O30" s="7" t="n">
        <v>0.4</v>
      </c>
      <c r="P30" s="2" t="inlineStr">
        <is>
          <t>uphold</t>
        </is>
      </c>
      <c r="Q30" s="8"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1">
      <c r="A31" s="2" t="inlineStr">
        <is>
          <t>2026-10-07</t>
        </is>
      </c>
      <c r="B31" s="2" t="inlineStr">
        <is>
          <t>SNDK</t>
        </is>
      </c>
      <c r="C31" s="2" t="inlineStr">
        <is>
          <t>Sandisk</t>
        </is>
      </c>
      <c r="D31" s="2" t="inlineStr">
        <is>
          <t>position</t>
        </is>
      </c>
      <c r="E31" s="2" t="inlineStr">
        <is>
          <t>Short</t>
        </is>
      </c>
      <c r="F31" s="2" t="inlineStr">
        <is>
          <t>Open</t>
        </is>
      </c>
      <c r="G31" s="2" t="inlineStr">
        <is>
          <t>2026-10-09</t>
        </is>
      </c>
      <c r="H31" s="2" t="inlineStr"/>
      <c r="I31" s="3" t="n">
        <v>-2</v>
      </c>
      <c r="J31" s="4" t="n">
        <v>1581.73</v>
      </c>
      <c r="K31" s="4" t="n"/>
      <c r="L31" s="4" t="n">
        <v>1488.41</v>
      </c>
      <c r="M31" s="5">
        <f>IFERROR(IF(E31="Short",-1,1)*(IF(K31&lt;&gt;"",K31,L31)/J31-1),"")</f>
        <v/>
      </c>
      <c r="N31" s="6">
        <f>IFERROR(I31*(IF(K31&lt;&gt;"",K31,L31)-J31),"")</f>
        <v/>
      </c>
      <c r="O31" s="7" t="n">
        <v>0.4</v>
      </c>
      <c r="P31" s="2" t="inlineStr">
        <is>
          <t>uphold</t>
        </is>
      </c>
      <c r="Q31" s="8"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2">
      <c r="A32" s="2" t="inlineStr">
        <is>
          <t>2026-10-07</t>
        </is>
      </c>
      <c r="B32" s="2" t="inlineStr">
        <is>
          <t>STX</t>
        </is>
      </c>
      <c r="C32" s="2" t="inlineStr">
        <is>
          <t>Seagate Technology</t>
        </is>
      </c>
      <c r="D32" s="2" t="inlineStr">
        <is>
          <t>position</t>
        </is>
      </c>
      <c r="E32" s="2" t="inlineStr">
        <is>
          <t>Short</t>
        </is>
      </c>
      <c r="F32" s="2" t="inlineStr">
        <is>
          <t>Open</t>
        </is>
      </c>
      <c r="G32" s="2" t="inlineStr">
        <is>
          <t>2026-10-08</t>
        </is>
      </c>
      <c r="H32" s="2" t="inlineStr"/>
      <c r="I32" s="3" t="n">
        <v>-3</v>
      </c>
      <c r="J32" s="4" t="n">
        <v>775.35</v>
      </c>
      <c r="K32" s="4" t="n"/>
      <c r="L32" s="4" t="n">
        <v>755.365</v>
      </c>
      <c r="M32" s="5">
        <f>IFERROR(IF(E32="Short",-1,1)*(IF(K32&lt;&gt;"",K32,L32)/J32-1),"")</f>
        <v/>
      </c>
      <c r="N32" s="6">
        <f>IFERROR(I32*(IF(K32&lt;&gt;"",K32,L32)-J32),"")</f>
        <v/>
      </c>
      <c r="O32" s="7" t="n">
        <v>0.5</v>
      </c>
      <c r="P32" s="2" t="inlineStr">
        <is>
          <t>uphold</t>
        </is>
      </c>
      <c r="Q32" s="8" t="inlineStr">
        <is>
          <t>Toshiba's Oct 2 plan to double AI HDD capacity by FY2027 is a genuine duopoly threat, and the story is exploding (49% of coverage vs 17% avg), keeping competitive/pricing pressure in focus. The 12% drop and Oct 5 analyst pushback mean much is priced, but the Oct 6 TDK bid adds uncertainty. Mild underperformance.</t>
        </is>
      </c>
    </row>
    <row r="33">
      <c r="A33" s="2" t="inlineStr">
        <is>
          <t>2026-10-07</t>
        </is>
      </c>
      <c r="B33" s="2" t="inlineStr">
        <is>
          <t>WDC</t>
        </is>
      </c>
      <c r="C33" s="2" t="inlineStr">
        <is>
          <t>Western Digital</t>
        </is>
      </c>
      <c r="D33" s="2" t="inlineStr">
        <is>
          <t>position</t>
        </is>
      </c>
      <c r="E33" s="2" t="inlineStr">
        <is>
          <t>Short</t>
        </is>
      </c>
      <c r="F33" s="2" t="inlineStr">
        <is>
          <t>Open</t>
        </is>
      </c>
      <c r="G33" s="2" t="inlineStr">
        <is>
          <t>2026-10-08</t>
        </is>
      </c>
      <c r="H33" s="2" t="inlineStr"/>
      <c r="I33" s="3" t="n">
        <v>-8</v>
      </c>
      <c r="J33" s="4" t="n">
        <v>393.05</v>
      </c>
      <c r="K33" s="4" t="n"/>
      <c r="L33" s="4" t="n">
        <v>388.57</v>
      </c>
      <c r="M33" s="5">
        <f>IFERROR(IF(E33="Short",-1,1)*(IF(K33&lt;&gt;"",K33,L33)/J33-1),"")</f>
        <v/>
      </c>
      <c r="N33" s="6">
        <f>IFERROR(I33*(IF(K33&lt;&gt;"",K33,L33)-J33),"")</f>
        <v/>
      </c>
      <c r="O33" s="7" t="n">
        <v>0.6</v>
      </c>
      <c r="P33" s="2" t="inlineStr">
        <is>
          <t>uphold</t>
        </is>
      </c>
      <c r="Q33" s="8" t="inlineStr">
        <is>
          <t>Toshiba's Oct 2 plan to double HDD capacity threatens WDC's AI storage pricing power; the competitive story is gaining share while WDC's earnings narrative fades. Despite a 10% drop, the supply threat is not fully resolved, so WDC likely lags peers next week.</t>
        </is>
      </c>
    </row>
  </sheetData>
  <autoFilter ref="A1:Q33"/>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5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6" customWidth="1" min="8" max="8"/>
    <col width="12" customWidth="1" min="9" max="9"/>
    <col width="12" customWidth="1" min="10" max="10"/>
    <col width="12" customWidth="1" min="11" max="11"/>
    <col width="12" customWidth="1" min="12" max="12"/>
    <col width="12" customWidth="1" min="13" max="13"/>
    <col width="12" customWidth="1" min="14" max="14"/>
    <col width="34" customWidth="1" min="15" max="15"/>
  </cols>
  <sheetData>
    <row r="1" ht="30" customHeight="1">
      <c r="A1" s="1" t="inlineStr">
        <is>
          <t>Week (as-of Wed)</t>
        </is>
      </c>
      <c r="B1" s="1" t="inlineStr">
        <is>
          <t>Execution day</t>
        </is>
      </c>
      <c r="C1" s="1" t="inlineStr">
        <is>
          <t>Ticker</t>
        </is>
      </c>
      <c r="D1" s="1" t="inlineStr">
        <is>
          <t>Leg</t>
        </is>
      </c>
      <c r="E1" s="1" t="inlineStr">
        <is>
          <t>Side</t>
        </is>
      </c>
      <c r="F1" s="1" t="inlineStr">
        <is>
          <t>Ordered</t>
        </is>
      </c>
      <c r="G1" s="1" t="inlineStr">
        <is>
          <t>Filled</t>
        </is>
      </c>
      <c r="H1" s="1" t="inlineStr">
        <is>
          <t>Order type</t>
        </is>
      </c>
      <c r="I1" s="1" t="inlineStr">
        <is>
          <t>Reference price ($)</t>
        </is>
      </c>
      <c r="J1" s="1" t="inlineStr">
        <is>
          <t>Status</t>
        </is>
      </c>
      <c r="K1" s="1" t="inlineStr">
        <is>
          <t>Fill price ($)</t>
        </is>
      </c>
      <c r="L1" s="1" t="inlineStr">
        <is>
          <t>Official close ($)</t>
        </is>
      </c>
      <c r="M1" s="1" t="inlineStr">
        <is>
          <t>Slippage vs close (bp)</t>
        </is>
      </c>
      <c r="N1" s="1" t="inlineStr">
        <is>
          <t>Notional ($)</t>
        </is>
      </c>
      <c r="O1" s="1" t="inlineStr">
        <is>
          <t>Client order id</t>
        </is>
      </c>
    </row>
    <row r="2">
      <c r="A2" s="2" t="inlineStr">
        <is>
          <t>2026-09-30</t>
        </is>
      </c>
      <c r="B2" s="2" t="inlineStr">
        <is>
          <t>2026-10-01</t>
        </is>
      </c>
      <c r="C2" s="2" t="inlineStr">
        <is>
          <t>AMD</t>
        </is>
      </c>
      <c r="D2" s="2" t="inlineStr">
        <is>
          <t>rebalance</t>
        </is>
      </c>
      <c r="E2" s="2" t="inlineStr">
        <is>
          <t>sell</t>
        </is>
      </c>
      <c r="F2" s="9" t="n">
        <v>5</v>
      </c>
      <c r="G2" s="9" t="n">
        <v>0</v>
      </c>
      <c r="H2" s="2" t="inlineStr">
        <is>
          <t>market-on-close</t>
        </is>
      </c>
      <c r="I2" s="4" t="n">
        <v>610.96</v>
      </c>
      <c r="J2" s="2" t="inlineStr">
        <is>
          <t>expired</t>
        </is>
      </c>
      <c r="K2" s="4" t="n"/>
      <c r="L2" s="4" t="n">
        <v>615.72998046875</v>
      </c>
      <c r="M2" s="10" t="n"/>
      <c r="N2" s="9">
        <f>IFERROR(G2*IF(K2&lt;&gt;"",K2,I2),"")</f>
        <v/>
      </c>
      <c r="O2" s="2" t="inlineStr">
        <is>
          <t>fund-2026-09-30-AMD-rebalance</t>
        </is>
      </c>
    </row>
    <row r="3">
      <c r="A3" s="2" t="inlineStr">
        <is>
          <t>2026-09-30</t>
        </is>
      </c>
      <c r="B3" s="2" t="inlineStr">
        <is>
          <t>2026-10-01</t>
        </is>
      </c>
      <c r="C3" s="2" t="inlineStr">
        <is>
          <t>AVGO</t>
        </is>
      </c>
      <c r="D3" s="2" t="inlineStr">
        <is>
          <t>rebalance</t>
        </is>
      </c>
      <c r="E3" s="2" t="inlineStr">
        <is>
          <t>sell</t>
        </is>
      </c>
      <c r="F3" s="9" t="n">
        <v>7</v>
      </c>
      <c r="G3" s="9" t="n">
        <v>0</v>
      </c>
      <c r="H3" s="2" t="inlineStr">
        <is>
          <t>market-on-close</t>
        </is>
      </c>
      <c r="I3" s="4" t="n">
        <v>347.67</v>
      </c>
      <c r="J3" s="2" t="inlineStr">
        <is>
          <t>expired</t>
        </is>
      </c>
      <c r="K3" s="4" t="n"/>
      <c r="L3" s="4" t="n">
        <v>343.6400146484375</v>
      </c>
      <c r="M3" s="10" t="n"/>
      <c r="N3" s="9">
        <f>IFERROR(G3*IF(K3&lt;&gt;"",K3,I3),"")</f>
        <v/>
      </c>
      <c r="O3" s="2" t="inlineStr">
        <is>
          <t>fund-2026-09-30-AVGO-rebalance</t>
        </is>
      </c>
    </row>
    <row r="4">
      <c r="A4" s="2" t="inlineStr">
        <is>
          <t>2026-09-30</t>
        </is>
      </c>
      <c r="B4" s="2" t="inlineStr">
        <is>
          <t>2026-10-01</t>
        </is>
      </c>
      <c r="C4" s="2" t="inlineStr">
        <is>
          <t>BRK.B</t>
        </is>
      </c>
      <c r="D4" s="2" t="inlineStr">
        <is>
          <t>rebalance</t>
        </is>
      </c>
      <c r="E4" s="2" t="inlineStr">
        <is>
          <t>sell</t>
        </is>
      </c>
      <c r="F4" s="9" t="n">
        <v>6</v>
      </c>
      <c r="G4" s="9" t="n">
        <v>4</v>
      </c>
      <c r="H4" s="2" t="inlineStr">
        <is>
          <t>market-on-close</t>
        </is>
      </c>
      <c r="I4" s="4" t="n">
        <v>498.87</v>
      </c>
      <c r="J4" s="2" t="inlineStr">
        <is>
          <t>expired</t>
        </is>
      </c>
      <c r="K4" s="4" t="n">
        <v>500.56</v>
      </c>
      <c r="L4" s="4" t="n">
        <v>500.5</v>
      </c>
      <c r="M4" s="10" t="n">
        <v>-1.19880119880067</v>
      </c>
      <c r="N4" s="9">
        <f>IFERROR(G4*IF(K4&lt;&gt;"",K4,I4),"")</f>
        <v/>
      </c>
      <c r="O4" s="2" t="inlineStr">
        <is>
          <t>fund-2026-09-30-BRK.B-rebalance</t>
        </is>
      </c>
    </row>
    <row r="5">
      <c r="A5" s="2" t="inlineStr">
        <is>
          <t>2026-09-30</t>
        </is>
      </c>
      <c r="B5" s="2" t="inlineStr">
        <is>
          <t>2026-10-01</t>
        </is>
      </c>
      <c r="C5" s="2" t="inlineStr">
        <is>
          <t>FICO</t>
        </is>
      </c>
      <c r="D5" s="2" t="inlineStr">
        <is>
          <t>rebalance</t>
        </is>
      </c>
      <c r="E5" s="2" t="inlineStr">
        <is>
          <t>sell</t>
        </is>
      </c>
      <c r="F5" s="9" t="n">
        <v>9</v>
      </c>
      <c r="G5" s="9" t="n">
        <v>0</v>
      </c>
      <c r="H5" s="2" t="inlineStr">
        <is>
          <t>market-on-close</t>
        </is>
      </c>
      <c r="I5" s="4" t="n">
        <v>653.135</v>
      </c>
      <c r="J5" s="2" t="inlineStr">
        <is>
          <t>expired</t>
        </is>
      </c>
      <c r="K5" s="4" t="n"/>
      <c r="L5" s="4" t="n">
        <v>661.75</v>
      </c>
      <c r="M5" s="10" t="n"/>
      <c r="N5" s="9">
        <f>IFERROR(G5*IF(K5&lt;&gt;"",K5,I5),"")</f>
        <v/>
      </c>
      <c r="O5" s="2" t="inlineStr">
        <is>
          <t>fund-2026-09-30-FICO-rebalance</t>
        </is>
      </c>
    </row>
    <row r="6">
      <c r="A6" s="2" t="inlineStr">
        <is>
          <t>2026-09-30</t>
        </is>
      </c>
      <c r="B6" s="2" t="inlineStr">
        <is>
          <t>2026-10-01</t>
        </is>
      </c>
      <c r="C6" s="2" t="inlineStr">
        <is>
          <t>GEV</t>
        </is>
      </c>
      <c r="D6" s="2" t="inlineStr">
        <is>
          <t>rebalance</t>
        </is>
      </c>
      <c r="E6" s="2" t="inlineStr">
        <is>
          <t>buy</t>
        </is>
      </c>
      <c r="F6" s="9" t="n">
        <v>3</v>
      </c>
      <c r="G6" s="9" t="n">
        <v>2</v>
      </c>
      <c r="H6" s="2" t="inlineStr">
        <is>
          <t>market-on-close</t>
        </is>
      </c>
      <c r="I6" s="4" t="n">
        <v>971</v>
      </c>
      <c r="J6" s="2" t="inlineStr">
        <is>
          <t>expired</t>
        </is>
      </c>
      <c r="K6" s="4" t="n">
        <v>987.38</v>
      </c>
      <c r="L6" s="4" t="n">
        <v>987.4500122070312</v>
      </c>
      <c r="M6" s="10" t="n">
        <v>-0.709020265995397</v>
      </c>
      <c r="N6" s="9">
        <f>IFERROR(G6*IF(K6&lt;&gt;"",K6,I6),"")</f>
        <v/>
      </c>
      <c r="O6" s="2" t="inlineStr">
        <is>
          <t>fund-2026-09-30-GEV-rebalance</t>
        </is>
      </c>
    </row>
    <row r="7">
      <c r="A7" s="2" t="inlineStr">
        <is>
          <t>2026-09-30</t>
        </is>
      </c>
      <c r="B7" s="2" t="inlineStr">
        <is>
          <t>2026-10-01</t>
        </is>
      </c>
      <c r="C7" s="2" t="inlineStr">
        <is>
          <t>HPE</t>
        </is>
      </c>
      <c r="D7" s="2" t="inlineStr">
        <is>
          <t>rebalance</t>
        </is>
      </c>
      <c r="E7" s="2" t="inlineStr">
        <is>
          <t>buy</t>
        </is>
      </c>
      <c r="F7" s="9" t="n">
        <v>49</v>
      </c>
      <c r="G7" s="9" t="n">
        <v>0</v>
      </c>
      <c r="H7" s="2" t="inlineStr">
        <is>
          <t>market-on-close</t>
        </is>
      </c>
      <c r="I7" s="4" t="n">
        <v>64.23999999999999</v>
      </c>
      <c r="J7" s="2" t="inlineStr">
        <is>
          <t>expired</t>
        </is>
      </c>
      <c r="K7" s="4" t="n"/>
      <c r="L7" s="4" t="n">
        <v>64.58000183105469</v>
      </c>
      <c r="M7" s="10" t="n"/>
      <c r="N7" s="9">
        <f>IFERROR(G7*IF(K7&lt;&gt;"",K7,I7),"")</f>
        <v/>
      </c>
      <c r="O7" s="2" t="inlineStr">
        <is>
          <t>fund-2026-09-30-HPE-rebalance</t>
        </is>
      </c>
    </row>
    <row r="8">
      <c r="A8" s="2" t="inlineStr">
        <is>
          <t>2026-09-30</t>
        </is>
      </c>
      <c r="B8" s="2" t="inlineStr">
        <is>
          <t>2026-10-01</t>
        </is>
      </c>
      <c r="C8" s="2" t="inlineStr">
        <is>
          <t>HRL</t>
        </is>
      </c>
      <c r="D8" s="2" t="inlineStr">
        <is>
          <t>rebalance</t>
        </is>
      </c>
      <c r="E8" s="2" t="inlineStr">
        <is>
          <t>sell</t>
        </is>
      </c>
      <c r="F8" s="9" t="n">
        <v>151</v>
      </c>
      <c r="G8" s="9" t="n">
        <v>0</v>
      </c>
      <c r="H8" s="2" t="inlineStr">
        <is>
          <t>market-on-close</t>
        </is>
      </c>
      <c r="I8" s="4" t="n">
        <v>19.855</v>
      </c>
      <c r="J8" s="2" t="inlineStr">
        <is>
          <t>expired</t>
        </is>
      </c>
      <c r="K8" s="4" t="n"/>
      <c r="L8" s="4" t="n">
        <v>19.95999908447266</v>
      </c>
      <c r="M8" s="10" t="n"/>
      <c r="N8" s="9">
        <f>IFERROR(G8*IF(K8&lt;&gt;"",K8,I8),"")</f>
        <v/>
      </c>
      <c r="O8" s="2" t="inlineStr">
        <is>
          <t>fund-2026-09-30-HRL-rebalance</t>
        </is>
      </c>
    </row>
    <row r="9">
      <c r="A9" s="2" t="inlineStr">
        <is>
          <t>2026-09-30</t>
        </is>
      </c>
      <c r="B9" s="2" t="inlineStr">
        <is>
          <t>2026-10-01</t>
        </is>
      </c>
      <c r="C9" s="2" t="inlineStr">
        <is>
          <t>LITE</t>
        </is>
      </c>
      <c r="D9" s="2" t="inlineStr">
        <is>
          <t>rebalance</t>
        </is>
      </c>
      <c r="E9" s="2" t="inlineStr">
        <is>
          <t>buy</t>
        </is>
      </c>
      <c r="F9" s="9" t="n">
        <v>3</v>
      </c>
      <c r="G9" s="9" t="n">
        <v>0</v>
      </c>
      <c r="H9" s="2" t="inlineStr">
        <is>
          <t>market-on-close</t>
        </is>
      </c>
      <c r="I9" s="4" t="n">
        <v>1054.455</v>
      </c>
      <c r="J9" s="2" t="inlineStr">
        <is>
          <t>expired</t>
        </is>
      </c>
      <c r="K9" s="4" t="n"/>
      <c r="L9" s="4" t="n">
        <v>1045.780029296875</v>
      </c>
      <c r="M9" s="10" t="n"/>
      <c r="N9" s="9">
        <f>IFERROR(G9*IF(K9&lt;&gt;"",K9,I9),"")</f>
        <v/>
      </c>
      <c r="O9" s="2" t="inlineStr">
        <is>
          <t>fund-2026-09-30-LITE-rebalance</t>
        </is>
      </c>
    </row>
    <row r="10">
      <c r="A10" s="2" t="inlineStr">
        <is>
          <t>2026-09-30</t>
        </is>
      </c>
      <c r="B10" s="2" t="inlineStr">
        <is>
          <t>2026-10-01</t>
        </is>
      </c>
      <c r="C10" s="2" t="inlineStr">
        <is>
          <t>LLY</t>
        </is>
      </c>
      <c r="D10" s="2" t="inlineStr">
        <is>
          <t>rebalance</t>
        </is>
      </c>
      <c r="E10" s="2" t="inlineStr">
        <is>
          <t>buy</t>
        </is>
      </c>
      <c r="F10" s="9" t="n">
        <v>3</v>
      </c>
      <c r="G10" s="9" t="n">
        <v>0</v>
      </c>
      <c r="H10" s="2" t="inlineStr">
        <is>
          <t>market-on-close</t>
        </is>
      </c>
      <c r="I10" s="4" t="n">
        <v>1143.745</v>
      </c>
      <c r="J10" s="2" t="inlineStr">
        <is>
          <t>expired</t>
        </is>
      </c>
      <c r="K10" s="4" t="n"/>
      <c r="L10" s="4" t="n">
        <v>1149.849975585938</v>
      </c>
      <c r="M10" s="10" t="n"/>
      <c r="N10" s="9">
        <f>IFERROR(G10*IF(K10&lt;&gt;"",K10,I10),"")</f>
        <v/>
      </c>
      <c r="O10" s="2" t="inlineStr">
        <is>
          <t>fund-2026-09-30-LLY-rebalance</t>
        </is>
      </c>
    </row>
    <row r="11">
      <c r="A11" s="2" t="inlineStr">
        <is>
          <t>2026-09-30</t>
        </is>
      </c>
      <c r="B11" s="2" t="inlineStr">
        <is>
          <t>2026-10-01</t>
        </is>
      </c>
      <c r="C11" s="2" t="inlineStr">
        <is>
          <t>LULU</t>
        </is>
      </c>
      <c r="D11" s="2" t="inlineStr">
        <is>
          <t>rebalance</t>
        </is>
      </c>
      <c r="E11" s="2" t="inlineStr">
        <is>
          <t>sell</t>
        </is>
      </c>
      <c r="F11" s="9" t="n">
        <v>31</v>
      </c>
      <c r="G11" s="9" t="n">
        <v>27</v>
      </c>
      <c r="H11" s="2" t="inlineStr">
        <is>
          <t>market-on-close</t>
        </is>
      </c>
      <c r="I11" s="4" t="n">
        <v>97.37</v>
      </c>
      <c r="J11" s="2" t="inlineStr">
        <is>
          <t>expired</t>
        </is>
      </c>
      <c r="K11" s="4" t="n">
        <v>95.87</v>
      </c>
      <c r="L11" s="4" t="n">
        <v>95.86000061035156</v>
      </c>
      <c r="M11" s="10" t="n">
        <v>-1.043124304691556</v>
      </c>
      <c r="N11" s="9">
        <f>IFERROR(G11*IF(K11&lt;&gt;"",K11,I11),"")</f>
        <v/>
      </c>
      <c r="O11" s="2" t="inlineStr">
        <is>
          <t>fund-2026-09-30-LULU-rebalance</t>
        </is>
      </c>
    </row>
    <row r="12">
      <c r="A12" s="2" t="inlineStr">
        <is>
          <t>2026-09-30</t>
        </is>
      </c>
      <c r="B12" s="2" t="inlineStr">
        <is>
          <t>2026-10-01</t>
        </is>
      </c>
      <c r="C12" s="2" t="inlineStr">
        <is>
          <t>MU</t>
        </is>
      </c>
      <c r="D12" s="2" t="inlineStr">
        <is>
          <t>rebalance</t>
        </is>
      </c>
      <c r="E12" s="2" t="inlineStr">
        <is>
          <t>buy</t>
        </is>
      </c>
      <c r="F12" s="9" t="n">
        <v>3</v>
      </c>
      <c r="G12" s="9" t="n">
        <v>2</v>
      </c>
      <c r="H12" s="2" t="inlineStr">
        <is>
          <t>market-on-close</t>
        </is>
      </c>
      <c r="I12" s="4" t="n">
        <v>1047.22</v>
      </c>
      <c r="J12" s="2" t="inlineStr">
        <is>
          <t>expired</t>
        </is>
      </c>
      <c r="K12" s="4" t="n">
        <v>1097.61</v>
      </c>
      <c r="L12" s="4" t="n">
        <v>1097.390014648438</v>
      </c>
      <c r="M12" s="10" t="n">
        <v>2.004623229898694</v>
      </c>
      <c r="N12" s="9">
        <f>IFERROR(G12*IF(K12&lt;&gt;"",K12,I12),"")</f>
        <v/>
      </c>
      <c r="O12" s="2" t="inlineStr">
        <is>
          <t>fund-2026-09-30-MU-rebalance</t>
        </is>
      </c>
    </row>
    <row r="13">
      <c r="A13" s="2" t="inlineStr">
        <is>
          <t>2026-09-30</t>
        </is>
      </c>
      <c r="B13" s="2" t="inlineStr">
        <is>
          <t>2026-10-01</t>
        </is>
      </c>
      <c r="C13" s="2" t="inlineStr">
        <is>
          <t>NFLX</t>
        </is>
      </c>
      <c r="D13" s="2" t="inlineStr">
        <is>
          <t>rebalance</t>
        </is>
      </c>
      <c r="E13" s="2" t="inlineStr">
        <is>
          <t>buy</t>
        </is>
      </c>
      <c r="F13" s="9" t="n">
        <v>39</v>
      </c>
      <c r="G13" s="9" t="n">
        <v>24</v>
      </c>
      <c r="H13" s="2" t="inlineStr">
        <is>
          <t>market-on-close</t>
        </is>
      </c>
      <c r="I13" s="4" t="n">
        <v>68</v>
      </c>
      <c r="J13" s="2" t="inlineStr">
        <is>
          <t>expired</t>
        </is>
      </c>
      <c r="K13" s="4" t="n">
        <v>67.84999999999999</v>
      </c>
      <c r="L13" s="4" t="n">
        <v>67.84999847412109</v>
      </c>
      <c r="M13" s="10" t="n">
        <v>0.0002248900421442</v>
      </c>
      <c r="N13" s="9">
        <f>IFERROR(G13*IF(K13&lt;&gt;"",K13,I13),"")</f>
        <v/>
      </c>
      <c r="O13" s="2" t="inlineStr">
        <is>
          <t>fund-2026-09-30-NFLX-rebalance</t>
        </is>
      </c>
    </row>
    <row r="14">
      <c r="A14" s="2" t="inlineStr">
        <is>
          <t>2026-09-30</t>
        </is>
      </c>
      <c r="B14" s="2" t="inlineStr">
        <is>
          <t>2026-10-01</t>
        </is>
      </c>
      <c r="C14" s="2" t="inlineStr">
        <is>
          <t>NVDA</t>
        </is>
      </c>
      <c r="D14" s="2" t="inlineStr">
        <is>
          <t>rebalance</t>
        </is>
      </c>
      <c r="E14" s="2" t="inlineStr">
        <is>
          <t>buy</t>
        </is>
      </c>
      <c r="F14" s="9" t="n">
        <v>14</v>
      </c>
      <c r="G14" s="9" t="n">
        <v>0</v>
      </c>
      <c r="H14" s="2" t="inlineStr">
        <is>
          <t>market-on-close</t>
        </is>
      </c>
      <c r="I14" s="4" t="n">
        <v>230.055</v>
      </c>
      <c r="J14" s="2" t="inlineStr">
        <is>
          <t>expired</t>
        </is>
      </c>
      <c r="K14" s="4" t="n"/>
      <c r="L14" s="4" t="n">
        <v>230.8600006103516</v>
      </c>
      <c r="M14" s="10" t="n"/>
      <c r="N14" s="9">
        <f>IFERROR(G14*IF(K14&lt;&gt;"",K14,I14),"")</f>
        <v/>
      </c>
      <c r="O14" s="2" t="inlineStr">
        <is>
          <t>fund-2026-09-30-NVDA-rebalance</t>
        </is>
      </c>
    </row>
    <row r="15">
      <c r="A15" s="2" t="inlineStr">
        <is>
          <t>2026-09-30</t>
        </is>
      </c>
      <c r="B15" s="2" t="inlineStr">
        <is>
          <t>2026-10-01</t>
        </is>
      </c>
      <c r="C15" s="2" t="inlineStr">
        <is>
          <t>ORCL</t>
        </is>
      </c>
      <c r="D15" s="2" t="inlineStr">
        <is>
          <t>rebalance</t>
        </is>
      </c>
      <c r="E15" s="2" t="inlineStr">
        <is>
          <t>sell</t>
        </is>
      </c>
      <c r="F15" s="9" t="n">
        <v>23</v>
      </c>
      <c r="G15" s="9" t="n">
        <v>0</v>
      </c>
      <c r="H15" s="2" t="inlineStr">
        <is>
          <t>market-on-close</t>
        </is>
      </c>
      <c r="I15" s="4" t="n">
        <v>136.495</v>
      </c>
      <c r="J15" s="2" t="inlineStr">
        <is>
          <t>expired</t>
        </is>
      </c>
      <c r="K15" s="4" t="n"/>
      <c r="L15" s="4" t="n">
        <v>138.0700073242188</v>
      </c>
      <c r="M15" s="10" t="n"/>
      <c r="N15" s="9">
        <f>IFERROR(G15*IF(K15&lt;&gt;"",K15,I15),"")</f>
        <v/>
      </c>
      <c r="O15" s="2" t="inlineStr">
        <is>
          <t>fund-2026-09-30-ORCL-rebalance</t>
        </is>
      </c>
    </row>
    <row r="16">
      <c r="A16" s="2" t="inlineStr">
        <is>
          <t>2026-09-30</t>
        </is>
      </c>
      <c r="B16" s="2" t="inlineStr">
        <is>
          <t>2026-10-01</t>
        </is>
      </c>
      <c r="C16" s="2" t="inlineStr">
        <is>
          <t>RTX</t>
        </is>
      </c>
      <c r="D16" s="2" t="inlineStr">
        <is>
          <t>rebalance</t>
        </is>
      </c>
      <c r="E16" s="2" t="inlineStr">
        <is>
          <t>buy</t>
        </is>
      </c>
      <c r="F16" s="9" t="n">
        <v>16</v>
      </c>
      <c r="G16" s="9" t="n">
        <v>0</v>
      </c>
      <c r="H16" s="2" t="inlineStr">
        <is>
          <t>market-on-close</t>
        </is>
      </c>
      <c r="I16" s="4" t="n">
        <v>185.3</v>
      </c>
      <c r="J16" s="2" t="inlineStr">
        <is>
          <t>expired</t>
        </is>
      </c>
      <c r="K16" s="4" t="n"/>
      <c r="L16" s="4" t="n">
        <v>185.0099945068359</v>
      </c>
      <c r="M16" s="10" t="n"/>
      <c r="N16" s="9">
        <f>IFERROR(G16*IF(K16&lt;&gt;"",K16,I16),"")</f>
        <v/>
      </c>
      <c r="O16" s="2" t="inlineStr">
        <is>
          <t>fund-2026-09-30-RTX-rebalance</t>
        </is>
      </c>
    </row>
    <row r="17">
      <c r="A17" s="2" t="inlineStr">
        <is>
          <t>2026-09-30</t>
        </is>
      </c>
      <c r="B17" s="2" t="inlineStr">
        <is>
          <t>2026-10-01</t>
        </is>
      </c>
      <c r="C17" s="2" t="inlineStr">
        <is>
          <t>SNDK</t>
        </is>
      </c>
      <c r="D17" s="2" t="inlineStr">
        <is>
          <t>rebalance</t>
        </is>
      </c>
      <c r="E17" s="2" t="inlineStr">
        <is>
          <t>buy</t>
        </is>
      </c>
      <c r="F17" s="9" t="n">
        <v>3</v>
      </c>
      <c r="G17" s="9" t="n">
        <v>0</v>
      </c>
      <c r="H17" s="2" t="inlineStr">
        <is>
          <t>market-on-close</t>
        </is>
      </c>
      <c r="I17" s="4" t="n">
        <v>1745.26</v>
      </c>
      <c r="J17" s="2" t="inlineStr">
        <is>
          <t>expired</t>
        </is>
      </c>
      <c r="K17" s="4" t="n"/>
      <c r="L17" s="4" t="n">
        <v>1787.68994140625</v>
      </c>
      <c r="M17" s="10" t="n"/>
      <c r="N17" s="9">
        <f>IFERROR(G17*IF(K17&lt;&gt;"",K17,I17),"")</f>
        <v/>
      </c>
      <c r="O17" s="2" t="inlineStr">
        <is>
          <t>fund-2026-09-30-SNDK-rebalance</t>
        </is>
      </c>
    </row>
    <row r="18">
      <c r="A18" s="2" t="inlineStr">
        <is>
          <t>2026-09-30</t>
        </is>
      </c>
      <c r="B18" s="2" t="inlineStr">
        <is>
          <t>2026-10-01</t>
        </is>
      </c>
      <c r="C18" s="2" t="inlineStr">
        <is>
          <t>SPY</t>
        </is>
      </c>
      <c r="D18" s="2" t="inlineStr">
        <is>
          <t>rebalance</t>
        </is>
      </c>
      <c r="E18" s="2" t="inlineStr">
        <is>
          <t>sell</t>
        </is>
      </c>
      <c r="F18" s="9" t="n">
        <v>21</v>
      </c>
      <c r="G18" s="9" t="n">
        <v>0</v>
      </c>
      <c r="H18" s="2" t="inlineStr">
        <is>
          <t>market-on-close</t>
        </is>
      </c>
      <c r="I18" s="4" t="n">
        <v>761.04</v>
      </c>
      <c r="J18" s="2" t="inlineStr">
        <is>
          <t>expired</t>
        </is>
      </c>
      <c r="K18" s="4" t="n"/>
      <c r="L18" s="4" t="n">
        <v>763.989990234375</v>
      </c>
      <c r="M18" s="10" t="n"/>
      <c r="N18" s="9">
        <f>IFERROR(G18*IF(K18&lt;&gt;"",K18,I18),"")</f>
        <v/>
      </c>
      <c r="O18" s="2" t="inlineStr">
        <is>
          <t>fund-2026-09-30-SPY-rebalance</t>
        </is>
      </c>
    </row>
    <row r="19">
      <c r="A19" s="2" t="inlineStr">
        <is>
          <t>2026-09-30</t>
        </is>
      </c>
      <c r="B19" s="2" t="inlineStr">
        <is>
          <t>2026-10-01</t>
        </is>
      </c>
      <c r="C19" s="2" t="inlineStr">
        <is>
          <t>STZ</t>
        </is>
      </c>
      <c r="D19" s="2" t="inlineStr">
        <is>
          <t>rebalance</t>
        </is>
      </c>
      <c r="E19" s="2" t="inlineStr">
        <is>
          <t>sell</t>
        </is>
      </c>
      <c r="F19" s="9" t="n">
        <v>24</v>
      </c>
      <c r="G19" s="9" t="n">
        <v>5</v>
      </c>
      <c r="H19" s="2" t="inlineStr">
        <is>
          <t>market-on-close</t>
        </is>
      </c>
      <c r="I19" s="4" t="n">
        <v>112.85</v>
      </c>
      <c r="J19" s="2" t="inlineStr">
        <is>
          <t>expired</t>
        </is>
      </c>
      <c r="K19" s="4" t="n">
        <v>112.95</v>
      </c>
      <c r="L19" s="4" t="n">
        <v>112.9899978637695</v>
      </c>
      <c r="M19" s="10" t="n">
        <v>3.539947298498713</v>
      </c>
      <c r="N19" s="9">
        <f>IFERROR(G19*IF(K19&lt;&gt;"",K19,I19),"")</f>
        <v/>
      </c>
      <c r="O19" s="2" t="inlineStr">
        <is>
          <t>fund-2026-09-30-STZ-rebalance</t>
        </is>
      </c>
    </row>
    <row r="20">
      <c r="A20" s="2" t="inlineStr">
        <is>
          <t>2026-09-30</t>
        </is>
      </c>
      <c r="B20" s="2" t="inlineStr">
        <is>
          <t>2026-10-01</t>
        </is>
      </c>
      <c r="C20" s="2" t="inlineStr">
        <is>
          <t>WBD</t>
        </is>
      </c>
      <c r="D20" s="2" t="inlineStr">
        <is>
          <t>rebalance</t>
        </is>
      </c>
      <c r="E20" s="2" t="inlineStr">
        <is>
          <t>buy</t>
        </is>
      </c>
      <c r="F20" s="9" t="n">
        <v>225</v>
      </c>
      <c r="G20" s="9" t="n">
        <v>0</v>
      </c>
      <c r="H20" s="2" t="inlineStr">
        <is>
          <t>market-on-close</t>
        </is>
      </c>
      <c r="I20" s="4" t="n">
        <v>30.935</v>
      </c>
      <c r="J20" s="2" t="inlineStr">
        <is>
          <t>expired</t>
        </is>
      </c>
      <c r="K20" s="4" t="n"/>
      <c r="L20" s="4" t="n">
        <v>30.95000076293945</v>
      </c>
      <c r="M20" s="10" t="n"/>
      <c r="N20" s="9">
        <f>IFERROR(G20*IF(K20&lt;&gt;"",K20,I20),"")</f>
        <v/>
      </c>
      <c r="O20" s="2" t="inlineStr">
        <is>
          <t>fund-2026-09-30-WBD-rebalance</t>
        </is>
      </c>
    </row>
    <row r="21">
      <c r="A21" s="2" t="inlineStr">
        <is>
          <t>2026-09-30</t>
        </is>
      </c>
      <c r="B21" s="2" t="inlineStr">
        <is>
          <t>2026-10-01</t>
        </is>
      </c>
      <c r="C21" s="2" t="inlineStr">
        <is>
          <t>WMT</t>
        </is>
      </c>
      <c r="D21" s="2" t="inlineStr">
        <is>
          <t>rebalance</t>
        </is>
      </c>
      <c r="E21" s="2" t="inlineStr">
        <is>
          <t>sell</t>
        </is>
      </c>
      <c r="F21" s="9" t="n">
        <v>24</v>
      </c>
      <c r="G21" s="9" t="n">
        <v>0</v>
      </c>
      <c r="H21" s="2" t="inlineStr">
        <is>
          <t>market-on-close</t>
        </is>
      </c>
      <c r="I21" s="4" t="n">
        <v>104.79</v>
      </c>
      <c r="J21" s="2" t="inlineStr">
        <is>
          <t>expired</t>
        </is>
      </c>
      <c r="K21" s="4" t="n"/>
      <c r="L21" s="4" t="n">
        <v>104.2600021362305</v>
      </c>
      <c r="M21" s="10" t="n"/>
      <c r="N21" s="9">
        <f>IFERROR(G21*IF(K21&lt;&gt;"",K21,I21),"")</f>
        <v/>
      </c>
      <c r="O21" s="2" t="inlineStr">
        <is>
          <t>fund-2026-09-30-WMT-rebalance</t>
        </is>
      </c>
    </row>
    <row r="22">
      <c r="A22" s="2" t="inlineStr">
        <is>
          <t>2026-09-30</t>
        </is>
      </c>
      <c r="B22" s="2" t="inlineStr">
        <is>
          <t>2026-10-07</t>
        </is>
      </c>
      <c r="C22" s="2" t="inlineStr">
        <is>
          <t>MU</t>
        </is>
      </c>
      <c r="D22" s="2" t="inlineStr">
        <is>
          <t>review-reduce</t>
        </is>
      </c>
      <c r="E22" s="2" t="inlineStr">
        <is>
          <t>sell</t>
        </is>
      </c>
      <c r="F22" s="9" t="n">
        <v>1</v>
      </c>
      <c r="G22" s="9" t="n">
        <v>1</v>
      </c>
      <c r="H22" s="2" t="inlineStr">
        <is>
          <t>market-on-close (daily review)</t>
        </is>
      </c>
      <c r="I22" s="4" t="n">
        <v>1086.89</v>
      </c>
      <c r="J22" s="2" t="inlineStr">
        <is>
          <t>filled</t>
        </is>
      </c>
      <c r="K22" s="4" t="n">
        <v>1086.75</v>
      </c>
      <c r="L22" s="4" t="n">
        <v>1088</v>
      </c>
      <c r="M22" s="10" t="n">
        <v>11.48897058823484</v>
      </c>
      <c r="N22" s="9">
        <f>IFERROR(G22*IF(K22&lt;&gt;"",K22,I22),"")</f>
        <v/>
      </c>
      <c r="O22" s="2" t="inlineStr">
        <is>
          <t>fund-2026-09-30-MU-r20261007</t>
        </is>
      </c>
    </row>
    <row r="23">
      <c r="A23" s="2" t="inlineStr">
        <is>
          <t>2026-09-30</t>
        </is>
      </c>
      <c r="B23" s="2" t="inlineStr">
        <is>
          <t>2026-10-07</t>
        </is>
      </c>
      <c r="C23" s="2" t="inlineStr">
        <is>
          <t>STZ</t>
        </is>
      </c>
      <c r="D23" s="2" t="inlineStr">
        <is>
          <t>review-exit</t>
        </is>
      </c>
      <c r="E23" s="2" t="inlineStr">
        <is>
          <t>buy</t>
        </is>
      </c>
      <c r="F23" s="9" t="n">
        <v>5</v>
      </c>
      <c r="G23" s="9" t="n">
        <v>5</v>
      </c>
      <c r="H23" s="2" t="inlineStr">
        <is>
          <t>market-on-close (daily review)</t>
        </is>
      </c>
      <c r="I23" s="4" t="n">
        <v>117.985</v>
      </c>
      <c r="J23" s="2" t="inlineStr">
        <is>
          <t>filled</t>
        </is>
      </c>
      <c r="K23" s="4" t="n">
        <v>118.22</v>
      </c>
      <c r="L23" s="4" t="n">
        <v>118.3899993896484</v>
      </c>
      <c r="M23" s="10" t="n">
        <v>-14.35926940829946</v>
      </c>
      <c r="N23" s="9">
        <f>IFERROR(G23*IF(K23&lt;&gt;"",K23,I23),"")</f>
        <v/>
      </c>
      <c r="O23" s="2" t="inlineStr">
        <is>
          <t>fund-2026-09-30-STZ-r20261007</t>
        </is>
      </c>
    </row>
    <row r="24">
      <c r="A24" s="2" t="inlineStr">
        <is>
          <t>2026-09-30</t>
        </is>
      </c>
      <c r="B24" s="2" t="inlineStr">
        <is>
          <t>2026-10-07</t>
        </is>
      </c>
      <c r="C24" s="2" t="inlineStr">
        <is>
          <t>SPY</t>
        </is>
      </c>
      <c r="D24" s="2" t="inlineStr">
        <is>
          <t>review-rehedge</t>
        </is>
      </c>
      <c r="E24" s="2" t="inlineStr">
        <is>
          <t>sell</t>
        </is>
      </c>
      <c r="F24" s="9" t="n">
        <v>1</v>
      </c>
      <c r="G24" s="9" t="n">
        <v>1</v>
      </c>
      <c r="H24" s="2" t="inlineStr">
        <is>
          <t>market-on-close (daily review)</t>
        </is>
      </c>
      <c r="I24" s="4" t="n">
        <v>777.515</v>
      </c>
      <c r="J24" s="2" t="inlineStr">
        <is>
          <t>filled</t>
        </is>
      </c>
      <c r="K24" s="4" t="n">
        <v>777.3</v>
      </c>
      <c r="L24" s="4" t="n">
        <v>777.219970703125</v>
      </c>
      <c r="M24" s="10" t="n">
        <v>-1.029686573834621</v>
      </c>
      <c r="N24" s="9">
        <f>IFERROR(G24*IF(K24&lt;&gt;"",K24,I24),"")</f>
        <v/>
      </c>
      <c r="O24" s="2" t="inlineStr">
        <is>
          <t>fund-2026-09-30-SPY-r20261007</t>
        </is>
      </c>
    </row>
    <row r="25">
      <c r="A25" s="2" t="inlineStr">
        <is>
          <t>2026-10-07</t>
        </is>
      </c>
      <c r="B25" s="2" t="inlineStr">
        <is>
          <t>2026-10-08</t>
        </is>
      </c>
      <c r="C25" s="2" t="inlineStr">
        <is>
          <t>AMD</t>
        </is>
      </c>
      <c r="D25" s="2" t="inlineStr">
        <is>
          <t>rebalance</t>
        </is>
      </c>
      <c r="E25" s="2" t="inlineStr">
        <is>
          <t>buy</t>
        </is>
      </c>
      <c r="F25" s="9" t="n">
        <v>4</v>
      </c>
      <c r="G25" s="9" t="n">
        <v>4</v>
      </c>
      <c r="H25" s="2" t="inlineStr">
        <is>
          <t>market, last minute before the close</t>
        </is>
      </c>
      <c r="I25" s="4" t="n">
        <v>620.67</v>
      </c>
      <c r="J25" s="2" t="inlineStr">
        <is>
          <t>filled</t>
        </is>
      </c>
      <c r="K25" s="4" t="n">
        <v>621.12</v>
      </c>
      <c r="L25" s="4" t="n">
        <v>620.6799926757812</v>
      </c>
      <c r="M25" s="10" t="n">
        <v>7.089117249001742</v>
      </c>
      <c r="N25" s="9">
        <f>IFERROR(G25*IF(K25&lt;&gt;"",K25,I25),"")</f>
        <v/>
      </c>
      <c r="O25" s="2" t="inlineStr">
        <is>
          <t>fund-2026-10-07-AMD-rebalance</t>
        </is>
      </c>
    </row>
    <row r="26">
      <c r="A26" s="2" t="inlineStr">
        <is>
          <t>2026-10-07</t>
        </is>
      </c>
      <c r="B26" s="2" t="inlineStr">
        <is>
          <t>2026-10-08</t>
        </is>
      </c>
      <c r="C26" s="2" t="inlineStr">
        <is>
          <t>AVGO</t>
        </is>
      </c>
      <c r="D26" s="2" t="inlineStr">
        <is>
          <t>rebalance</t>
        </is>
      </c>
      <c r="E26" s="2" t="inlineStr">
        <is>
          <t>buy</t>
        </is>
      </c>
      <c r="F26" s="9" t="n">
        <v>7</v>
      </c>
      <c r="G26" s="9" t="n">
        <v>7</v>
      </c>
      <c r="H26" s="2" t="inlineStr">
        <is>
          <t>market, last minute before the close</t>
        </is>
      </c>
      <c r="I26" s="4" t="n">
        <v>359.88</v>
      </c>
      <c r="J26" s="2" t="inlineStr">
        <is>
          <t>filled</t>
        </is>
      </c>
      <c r="K26" s="4" t="n">
        <v>360.361429</v>
      </c>
      <c r="L26" s="4" t="n">
        <v>360.1400146484375</v>
      </c>
      <c r="M26" s="10" t="n">
        <v>6.148007512540854</v>
      </c>
      <c r="N26" s="9">
        <f>IFERROR(G26*IF(K26&lt;&gt;"",K26,I26),"")</f>
        <v/>
      </c>
      <c r="O26" s="2" t="inlineStr">
        <is>
          <t>fund-2026-10-07-AVGO-rebalance</t>
        </is>
      </c>
    </row>
    <row r="27">
      <c r="A27" s="2" t="inlineStr">
        <is>
          <t>2026-10-07</t>
        </is>
      </c>
      <c r="B27" s="2" t="inlineStr">
        <is>
          <t>2026-10-08</t>
        </is>
      </c>
      <c r="C27" s="2" t="inlineStr">
        <is>
          <t>BA</t>
        </is>
      </c>
      <c r="D27" s="2" t="inlineStr">
        <is>
          <t>rebalance</t>
        </is>
      </c>
      <c r="E27" s="2" t="inlineStr">
        <is>
          <t>buy</t>
        </is>
      </c>
      <c r="F27" s="9" t="n">
        <v>33</v>
      </c>
      <c r="G27" s="9" t="n">
        <v>33</v>
      </c>
      <c r="H27" s="2" t="inlineStr">
        <is>
          <t>market, last minute before the close</t>
        </is>
      </c>
      <c r="I27" s="4" t="n">
        <v>187.495</v>
      </c>
      <c r="J27" s="2" t="inlineStr">
        <is>
          <t>filled</t>
        </is>
      </c>
      <c r="K27" s="4" t="n">
        <v>187.69</v>
      </c>
      <c r="L27" s="4" t="n">
        <v>187.75</v>
      </c>
      <c r="M27" s="10" t="n">
        <v>-3.195739014647536</v>
      </c>
      <c r="N27" s="9">
        <f>IFERROR(G27*IF(K27&lt;&gt;"",K27,I27),"")</f>
        <v/>
      </c>
      <c r="O27" s="2" t="inlineStr">
        <is>
          <t>fund-2026-10-07-BA-rebalance</t>
        </is>
      </c>
    </row>
    <row r="28">
      <c r="A28" s="2" t="inlineStr">
        <is>
          <t>2026-10-07</t>
        </is>
      </c>
      <c r="B28" s="2" t="inlineStr">
        <is>
          <t>2026-10-08</t>
        </is>
      </c>
      <c r="C28" s="2" t="inlineStr">
        <is>
          <t>CEG</t>
        </is>
      </c>
      <c r="D28" s="2" t="inlineStr">
        <is>
          <t>rebalance</t>
        </is>
      </c>
      <c r="E28" s="2" t="inlineStr">
        <is>
          <t>buy</t>
        </is>
      </c>
      <c r="F28" s="9" t="n">
        <v>10</v>
      </c>
      <c r="G28" s="9" t="n">
        <v>10</v>
      </c>
      <c r="H28" s="2" t="inlineStr">
        <is>
          <t>market, last minute before the close</t>
        </is>
      </c>
      <c r="I28" s="4" t="n">
        <v>285.09</v>
      </c>
      <c r="J28" s="2" t="inlineStr">
        <is>
          <t>filled</t>
        </is>
      </c>
      <c r="K28" s="4" t="n">
        <v>285.07</v>
      </c>
      <c r="L28" s="4" t="n">
        <v>285.0700073242188</v>
      </c>
      <c r="M28" s="10" t="n">
        <v>-0.0002569270207697</v>
      </c>
      <c r="N28" s="9">
        <f>IFERROR(G28*IF(K28&lt;&gt;"",K28,I28),"")</f>
        <v/>
      </c>
      <c r="O28" s="2" t="inlineStr">
        <is>
          <t>fund-2026-10-07-CEG-rebalance</t>
        </is>
      </c>
    </row>
    <row r="29">
      <c r="A29" s="2" t="inlineStr">
        <is>
          <t>2026-10-07</t>
        </is>
      </c>
      <c r="B29" s="2" t="inlineStr">
        <is>
          <t>2026-10-08</t>
        </is>
      </c>
      <c r="C29" s="2" t="inlineStr">
        <is>
          <t>GEV</t>
        </is>
      </c>
      <c r="D29" s="2" t="inlineStr">
        <is>
          <t>close</t>
        </is>
      </c>
      <c r="E29" s="2" t="inlineStr">
        <is>
          <t>sell</t>
        </is>
      </c>
      <c r="F29" s="9" t="n">
        <v>2</v>
      </c>
      <c r="G29" s="9" t="n">
        <v>2</v>
      </c>
      <c r="H29" s="2" t="inlineStr">
        <is>
          <t>market, last minute before the close</t>
        </is>
      </c>
      <c r="I29" s="4" t="n">
        <v>997.96</v>
      </c>
      <c r="J29" s="2" t="inlineStr">
        <is>
          <t>filled</t>
        </is>
      </c>
      <c r="K29" s="4" t="n">
        <v>998.54</v>
      </c>
      <c r="L29" s="4" t="n">
        <v>999.3499755859376</v>
      </c>
      <c r="M29" s="10" t="n">
        <v>8.105024323061816</v>
      </c>
      <c r="N29" s="9">
        <f>IFERROR(G29*IF(K29&lt;&gt;"",K29,I29),"")</f>
        <v/>
      </c>
      <c r="O29" s="2" t="inlineStr">
        <is>
          <t>fund-2026-10-07-GEV-close</t>
        </is>
      </c>
    </row>
    <row r="30">
      <c r="A30" s="2" t="inlineStr">
        <is>
          <t>2026-10-07</t>
        </is>
      </c>
      <c r="B30" s="2" t="inlineStr">
        <is>
          <t>2026-10-08</t>
        </is>
      </c>
      <c r="C30" s="2" t="inlineStr">
        <is>
          <t>GOOGL</t>
        </is>
      </c>
      <c r="D30" s="2" t="inlineStr">
        <is>
          <t>rebalance</t>
        </is>
      </c>
      <c r="E30" s="2" t="inlineStr">
        <is>
          <t>buy</t>
        </is>
      </c>
      <c r="F30" s="9" t="n">
        <v>9</v>
      </c>
      <c r="G30" s="9" t="n">
        <v>9</v>
      </c>
      <c r="H30" s="2" t="inlineStr">
        <is>
          <t>market, last minute before the close</t>
        </is>
      </c>
      <c r="I30" s="4" t="n">
        <v>348.065</v>
      </c>
      <c r="J30" s="2" t="inlineStr">
        <is>
          <t>filled</t>
        </is>
      </c>
      <c r="K30" s="4" t="n">
        <v>348.411111</v>
      </c>
      <c r="L30" s="4" t="n">
        <v>348.2900085449219</v>
      </c>
      <c r="M30" s="10" t="n">
        <v>3.477057972005593</v>
      </c>
      <c r="N30" s="9">
        <f>IFERROR(G30*IF(K30&lt;&gt;"",K30,I30),"")</f>
        <v/>
      </c>
      <c r="O30" s="2" t="inlineStr">
        <is>
          <t>fund-2026-10-07-GOOGL-rebalance</t>
        </is>
      </c>
    </row>
    <row r="31">
      <c r="A31" s="2" t="inlineStr">
        <is>
          <t>2026-10-07</t>
        </is>
      </c>
      <c r="B31" s="2" t="inlineStr">
        <is>
          <t>2026-10-08</t>
        </is>
      </c>
      <c r="C31" s="2" t="inlineStr">
        <is>
          <t>HPE</t>
        </is>
      </c>
      <c r="D31" s="2" t="inlineStr">
        <is>
          <t>rebalance</t>
        </is>
      </c>
      <c r="E31" s="2" t="inlineStr">
        <is>
          <t>buy</t>
        </is>
      </c>
      <c r="F31" s="9" t="n">
        <v>40</v>
      </c>
      <c r="G31" s="9" t="n">
        <v>40</v>
      </c>
      <c r="H31" s="2" t="inlineStr">
        <is>
          <t>market, last minute before the close</t>
        </is>
      </c>
      <c r="I31" s="4" t="n">
        <v>70.95</v>
      </c>
      <c r="J31" s="2" t="inlineStr">
        <is>
          <t>filled</t>
        </is>
      </c>
      <c r="K31" s="4" t="n">
        <v>70.92</v>
      </c>
      <c r="L31" s="4" t="n">
        <v>71</v>
      </c>
      <c r="M31" s="10" t="n">
        <v>-11.26760563380236</v>
      </c>
      <c r="N31" s="9">
        <f>IFERROR(G31*IF(K31&lt;&gt;"",K31,I31),"")</f>
        <v/>
      </c>
      <c r="O31" s="2" t="inlineStr">
        <is>
          <t>fund-2026-10-07-HPE-rebalance</t>
        </is>
      </c>
    </row>
    <row r="32">
      <c r="A32" s="2" t="inlineStr">
        <is>
          <t>2026-10-07</t>
        </is>
      </c>
      <c r="B32" s="2" t="inlineStr">
        <is>
          <t>2026-10-08</t>
        </is>
      </c>
      <c r="C32" s="2" t="inlineStr">
        <is>
          <t>LITE</t>
        </is>
      </c>
      <c r="D32" s="2" t="inlineStr">
        <is>
          <t>rebalance</t>
        </is>
      </c>
      <c r="E32" s="2" t="inlineStr">
        <is>
          <t>buy</t>
        </is>
      </c>
      <c r="F32" s="9" t="n">
        <v>3</v>
      </c>
      <c r="G32" s="9" t="n">
        <v>3</v>
      </c>
      <c r="H32" s="2" t="inlineStr">
        <is>
          <t>market, last minute before the close</t>
        </is>
      </c>
      <c r="I32" s="4" t="n">
        <v>1048.47</v>
      </c>
      <c r="J32" s="2" t="inlineStr">
        <is>
          <t>filled</t>
        </is>
      </c>
      <c r="K32" s="4" t="n">
        <v>1050.046667</v>
      </c>
      <c r="L32" s="4" t="n">
        <v>1048.599975585938</v>
      </c>
      <c r="M32" s="10" t="n">
        <v>13.79640900004864</v>
      </c>
      <c r="N32" s="9">
        <f>IFERROR(G32*IF(K32&lt;&gt;"",K32,I32),"")</f>
        <v/>
      </c>
      <c r="O32" s="2" t="inlineStr">
        <is>
          <t>fund-2026-10-07-LITE-rebalance</t>
        </is>
      </c>
    </row>
    <row r="33">
      <c r="A33" s="2" t="inlineStr">
        <is>
          <t>2026-10-07</t>
        </is>
      </c>
      <c r="B33" s="2" t="inlineStr">
        <is>
          <t>2026-10-08</t>
        </is>
      </c>
      <c r="C33" s="2" t="inlineStr">
        <is>
          <t>LLY</t>
        </is>
      </c>
      <c r="D33" s="2" t="inlineStr">
        <is>
          <t>rebalance</t>
        </is>
      </c>
      <c r="E33" s="2" t="inlineStr">
        <is>
          <t>buy</t>
        </is>
      </c>
      <c r="F33" s="9" t="n">
        <v>2</v>
      </c>
      <c r="G33" s="9" t="n">
        <v>2</v>
      </c>
      <c r="H33" s="2" t="inlineStr">
        <is>
          <t>market, last minute before the close</t>
        </is>
      </c>
      <c r="I33" s="4" t="n">
        <v>1168.87</v>
      </c>
      <c r="J33" s="2" t="inlineStr">
        <is>
          <t>filled</t>
        </is>
      </c>
      <c r="K33" s="4" t="n">
        <v>1170.25</v>
      </c>
      <c r="L33" s="4" t="n">
        <v>1169.599975585938</v>
      </c>
      <c r="M33" s="10" t="n">
        <v>5.557664394930661</v>
      </c>
      <c r="N33" s="9">
        <f>IFERROR(G33*IF(K33&lt;&gt;"",K33,I33),"")</f>
        <v/>
      </c>
      <c r="O33" s="2" t="inlineStr">
        <is>
          <t>fund-2026-10-07-LLY-rebalance</t>
        </is>
      </c>
    </row>
    <row r="34">
      <c r="A34" s="2" t="inlineStr">
        <is>
          <t>2026-10-07</t>
        </is>
      </c>
      <c r="B34" s="2" t="inlineStr">
        <is>
          <t>2026-10-08</t>
        </is>
      </c>
      <c r="C34" s="2" t="inlineStr">
        <is>
          <t>LULU</t>
        </is>
      </c>
      <c r="D34" s="2" t="inlineStr">
        <is>
          <t>rebalance</t>
        </is>
      </c>
      <c r="E34" s="2" t="inlineStr">
        <is>
          <t>sell</t>
        </is>
      </c>
      <c r="F34" s="9" t="n">
        <v>5</v>
      </c>
      <c r="G34" s="9" t="n">
        <v>5</v>
      </c>
      <c r="H34" s="2" t="inlineStr">
        <is>
          <t>market, last minute before the close</t>
        </is>
      </c>
      <c r="I34" s="4" t="n">
        <v>92.70999999999999</v>
      </c>
      <c r="J34" s="2" t="inlineStr">
        <is>
          <t>filled</t>
        </is>
      </c>
      <c r="K34" s="4" t="n">
        <v>92.70999999999999</v>
      </c>
      <c r="L34" s="4" t="n">
        <v>92.68000030517578</v>
      </c>
      <c r="M34" s="10" t="n">
        <v>-3.236911385997576</v>
      </c>
      <c r="N34" s="9">
        <f>IFERROR(G34*IF(K34&lt;&gt;"",K34,I34),"")</f>
        <v/>
      </c>
      <c r="O34" s="2" t="inlineStr">
        <is>
          <t>fund-2026-10-07-LULU-rebalance</t>
        </is>
      </c>
    </row>
    <row r="35">
      <c r="A35" s="2" t="inlineStr">
        <is>
          <t>2026-10-07</t>
        </is>
      </c>
      <c r="B35" s="2" t="inlineStr">
        <is>
          <t>2026-10-08</t>
        </is>
      </c>
      <c r="C35" s="2" t="inlineStr">
        <is>
          <t>MCD</t>
        </is>
      </c>
      <c r="D35" s="2" t="inlineStr">
        <is>
          <t>rebalance</t>
        </is>
      </c>
      <c r="E35" s="2" t="inlineStr">
        <is>
          <t>sell</t>
        </is>
      </c>
      <c r="F35" s="9" t="n">
        <v>13</v>
      </c>
      <c r="G35" s="9" t="n">
        <v>13</v>
      </c>
      <c r="H35" s="2" t="inlineStr">
        <is>
          <t>market, last minute before the close</t>
        </is>
      </c>
      <c r="I35" s="4" t="n">
        <v>236.49</v>
      </c>
      <c r="J35" s="2" t="inlineStr">
        <is>
          <t>filled</t>
        </is>
      </c>
      <c r="K35" s="4" t="n">
        <v>236.64</v>
      </c>
      <c r="L35" s="4" t="n">
        <v>236.8999938964844</v>
      </c>
      <c r="M35" s="10" t="n">
        <v>10.97483761852702</v>
      </c>
      <c r="N35" s="9">
        <f>IFERROR(G35*IF(K35&lt;&gt;"",K35,I35),"")</f>
        <v/>
      </c>
      <c r="O35" s="2" t="inlineStr">
        <is>
          <t>fund-2026-10-07-MCD-rebalance</t>
        </is>
      </c>
    </row>
    <row r="36">
      <c r="A36" s="2" t="inlineStr">
        <is>
          <t>2026-10-07</t>
        </is>
      </c>
      <c r="B36" s="2" t="inlineStr">
        <is>
          <t>2026-10-08</t>
        </is>
      </c>
      <c r="C36" s="2" t="inlineStr">
        <is>
          <t>META</t>
        </is>
      </c>
      <c r="D36" s="2" t="inlineStr">
        <is>
          <t>rebalance</t>
        </is>
      </c>
      <c r="E36" s="2" t="inlineStr">
        <is>
          <t>sell</t>
        </is>
      </c>
      <c r="F36" s="9" t="n">
        <v>4</v>
      </c>
      <c r="G36" s="9" t="n">
        <v>4</v>
      </c>
      <c r="H36" s="2" t="inlineStr">
        <is>
          <t>market, last minute before the close</t>
        </is>
      </c>
      <c r="I36" s="4" t="n">
        <v>720.39</v>
      </c>
      <c r="J36" s="2" t="inlineStr">
        <is>
          <t>filled</t>
        </is>
      </c>
      <c r="K36" s="4" t="n">
        <v>720.8099999999999</v>
      </c>
      <c r="L36" s="4" t="n">
        <v>720.8900146484375</v>
      </c>
      <c r="M36" s="10" t="n">
        <v>1.109942526761332</v>
      </c>
      <c r="N36" s="9">
        <f>IFERROR(G36*IF(K36&lt;&gt;"",K36,I36),"")</f>
        <v/>
      </c>
      <c r="O36" s="2" t="inlineStr">
        <is>
          <t>fund-2026-10-07-META-rebalance</t>
        </is>
      </c>
    </row>
    <row r="37">
      <c r="A37" s="2" t="inlineStr">
        <is>
          <t>2026-10-07</t>
        </is>
      </c>
      <c r="B37" s="2" t="inlineStr">
        <is>
          <t>2026-10-08</t>
        </is>
      </c>
      <c r="C37" s="2" t="inlineStr">
        <is>
          <t>MRVL</t>
        </is>
      </c>
      <c r="D37" s="2" t="inlineStr">
        <is>
          <t>rebalance</t>
        </is>
      </c>
      <c r="E37" s="2" t="inlineStr">
        <is>
          <t>buy</t>
        </is>
      </c>
      <c r="F37" s="9" t="n">
        <v>23</v>
      </c>
      <c r="G37" s="9" t="n">
        <v>23</v>
      </c>
      <c r="H37" s="2" t="inlineStr">
        <is>
          <t>market, last minute before the close</t>
        </is>
      </c>
      <c r="I37" s="4" t="n">
        <v>274.12</v>
      </c>
      <c r="J37" s="2" t="inlineStr">
        <is>
          <t>filled</t>
        </is>
      </c>
      <c r="K37" s="4" t="n">
        <v>274.618695</v>
      </c>
      <c r="L37" s="4" t="n">
        <v>274.6600036621094</v>
      </c>
      <c r="M37" s="10" t="n">
        <v>-1.50399262938139</v>
      </c>
      <c r="N37" s="9">
        <f>IFERROR(G37*IF(K37&lt;&gt;"",K37,I37),"")</f>
        <v/>
      </c>
      <c r="O37" s="2" t="inlineStr">
        <is>
          <t>fund-2026-10-07-MRVL-rebalance</t>
        </is>
      </c>
    </row>
    <row r="38">
      <c r="A38" s="2" t="inlineStr">
        <is>
          <t>2026-10-07</t>
        </is>
      </c>
      <c r="B38" s="2" t="inlineStr">
        <is>
          <t>2026-10-08</t>
        </is>
      </c>
      <c r="C38" s="2" t="inlineStr">
        <is>
          <t>MU</t>
        </is>
      </c>
      <c r="D38" s="2" t="inlineStr">
        <is>
          <t>close</t>
        </is>
      </c>
      <c r="E38" s="2" t="inlineStr">
        <is>
          <t>sell</t>
        </is>
      </c>
      <c r="F38" s="9" t="n">
        <v>1</v>
      </c>
      <c r="G38" s="9" t="n">
        <v>1</v>
      </c>
      <c r="H38" s="2" t="inlineStr">
        <is>
          <t>market, last minute before the close</t>
        </is>
      </c>
      <c r="I38" s="4" t="n">
        <v>1037.97</v>
      </c>
      <c r="J38" s="2" t="inlineStr">
        <is>
          <t>filled</t>
        </is>
      </c>
      <c r="K38" s="4" t="n">
        <v>1036.16</v>
      </c>
      <c r="L38" s="4" t="n">
        <v>1035.839965820312</v>
      </c>
      <c r="M38" s="10" t="n">
        <v>-3.089610270388121</v>
      </c>
      <c r="N38" s="9">
        <f>IFERROR(G38*IF(K38&lt;&gt;"",K38,I38),"")</f>
        <v/>
      </c>
      <c r="O38" s="2" t="inlineStr">
        <is>
          <t>fund-2026-10-07-MU-close</t>
        </is>
      </c>
    </row>
    <row r="39">
      <c r="A39" s="2" t="inlineStr">
        <is>
          <t>2026-10-07</t>
        </is>
      </c>
      <c r="B39" s="2" t="inlineStr">
        <is>
          <t>2026-10-08</t>
        </is>
      </c>
      <c r="C39" s="2" t="inlineStr">
        <is>
          <t>NFLX</t>
        </is>
      </c>
      <c r="D39" s="2" t="inlineStr">
        <is>
          <t>close</t>
        </is>
      </c>
      <c r="E39" s="2" t="inlineStr">
        <is>
          <t>sell</t>
        </is>
      </c>
      <c r="F39" s="9" t="n">
        <v>24</v>
      </c>
      <c r="G39" s="9" t="n">
        <v>24</v>
      </c>
      <c r="H39" s="2" t="inlineStr">
        <is>
          <t>market, last minute before the close</t>
        </is>
      </c>
      <c r="I39" s="4" t="n">
        <v>71.58</v>
      </c>
      <c r="J39" s="2" t="inlineStr">
        <is>
          <t>filled</t>
        </is>
      </c>
      <c r="K39" s="4" t="n">
        <v>71.59</v>
      </c>
      <c r="L39" s="4" t="n">
        <v>71.56999969482422</v>
      </c>
      <c r="M39" s="10" t="n">
        <v>-2.794509607526585</v>
      </c>
      <c r="N39" s="9">
        <f>IFERROR(G39*IF(K39&lt;&gt;"",K39,I39),"")</f>
        <v/>
      </c>
      <c r="O39" s="2" t="inlineStr">
        <is>
          <t>fund-2026-10-07-NFLX-close</t>
        </is>
      </c>
    </row>
    <row r="40">
      <c r="A40" s="2" t="inlineStr">
        <is>
          <t>2026-10-07</t>
        </is>
      </c>
      <c r="B40" s="2" t="inlineStr">
        <is>
          <t>2026-10-08</t>
        </is>
      </c>
      <c r="C40" s="2" t="inlineStr">
        <is>
          <t>NKE</t>
        </is>
      </c>
      <c r="D40" s="2" t="inlineStr">
        <is>
          <t>rebalance</t>
        </is>
      </c>
      <c r="E40" s="2" t="inlineStr">
        <is>
          <t>sell</t>
        </is>
      </c>
      <c r="F40" s="9" t="n">
        <v>187</v>
      </c>
      <c r="G40" s="9" t="n">
        <v>187</v>
      </c>
      <c r="H40" s="2" t="inlineStr">
        <is>
          <t>market, last minute before the close</t>
        </is>
      </c>
      <c r="I40" s="4" t="n">
        <v>34.75</v>
      </c>
      <c r="J40" s="2" t="inlineStr">
        <is>
          <t>filled</t>
        </is>
      </c>
      <c r="K40" s="4" t="n">
        <v>34.761176</v>
      </c>
      <c r="L40" s="4" t="n">
        <v>34.7400016784668</v>
      </c>
      <c r="M40" s="10" t="n">
        <v>-6.095083624111375</v>
      </c>
      <c r="N40" s="9">
        <f>IFERROR(G40*IF(K40&lt;&gt;"",K40,I40),"")</f>
        <v/>
      </c>
      <c r="O40" s="2" t="inlineStr">
        <is>
          <t>fund-2026-10-07-NKE-rebalance</t>
        </is>
      </c>
    </row>
    <row r="41">
      <c r="A41" s="2" t="inlineStr">
        <is>
          <t>2026-10-07</t>
        </is>
      </c>
      <c r="B41" s="2" t="inlineStr">
        <is>
          <t>2026-10-08</t>
        </is>
      </c>
      <c r="C41" s="2" t="inlineStr">
        <is>
          <t>NVDA</t>
        </is>
      </c>
      <c r="D41" s="2" t="inlineStr">
        <is>
          <t>rebalance</t>
        </is>
      </c>
      <c r="E41" s="2" t="inlineStr">
        <is>
          <t>buy</t>
        </is>
      </c>
      <c r="F41" s="9" t="n">
        <v>14</v>
      </c>
      <c r="G41" s="9" t="n">
        <v>14</v>
      </c>
      <c r="H41" s="2" t="inlineStr">
        <is>
          <t>market, last minute before the close</t>
        </is>
      </c>
      <c r="I41" s="4" t="n">
        <v>230.56</v>
      </c>
      <c r="J41" s="2" t="inlineStr">
        <is>
          <t>filled</t>
        </is>
      </c>
      <c r="K41" s="4" t="n">
        <v>230.494286</v>
      </c>
      <c r="L41" s="4" t="n">
        <v>230.479995727539</v>
      </c>
      <c r="M41" s="10" t="n">
        <v>0.6200222460006621</v>
      </c>
      <c r="N41" s="9">
        <f>IFERROR(G41*IF(K41&lt;&gt;"",K41,I41),"")</f>
        <v/>
      </c>
      <c r="O41" s="2" t="inlineStr">
        <is>
          <t>fund-2026-10-07-NVDA-rebalance</t>
        </is>
      </c>
    </row>
    <row r="42">
      <c r="A42" s="2" t="inlineStr">
        <is>
          <t>2026-10-07</t>
        </is>
      </c>
      <c r="B42" s="2" t="inlineStr">
        <is>
          <t>2026-10-08</t>
        </is>
      </c>
      <c r="C42" s="2" t="inlineStr">
        <is>
          <t>PEP</t>
        </is>
      </c>
      <c r="D42" s="2" t="inlineStr">
        <is>
          <t>rebalance</t>
        </is>
      </c>
      <c r="E42" s="2" t="inlineStr">
        <is>
          <t>sell</t>
        </is>
      </c>
      <c r="F42" s="9" t="n">
        <v>16</v>
      </c>
      <c r="G42" s="9" t="n">
        <v>16</v>
      </c>
      <c r="H42" s="2" t="inlineStr">
        <is>
          <t>market, last minute before the close</t>
        </is>
      </c>
      <c r="I42" s="4" t="n">
        <v>127.9</v>
      </c>
      <c r="J42" s="2" t="inlineStr">
        <is>
          <t>filled</t>
        </is>
      </c>
      <c r="K42" s="4" t="n">
        <v>128.19</v>
      </c>
      <c r="L42" s="4" t="n">
        <v>128.3399963378906</v>
      </c>
      <c r="M42" s="10" t="n">
        <v>11.68741952397467</v>
      </c>
      <c r="N42" s="9">
        <f>IFERROR(G42*IF(K42&lt;&gt;"",K42,I42),"")</f>
        <v/>
      </c>
      <c r="O42" s="2" t="inlineStr">
        <is>
          <t>fund-2026-10-07-PEP-rebalance</t>
        </is>
      </c>
    </row>
    <row r="43">
      <c r="A43" s="2" t="inlineStr">
        <is>
          <t>2026-10-07</t>
        </is>
      </c>
      <c r="B43" s="2" t="inlineStr">
        <is>
          <t>2026-10-08</t>
        </is>
      </c>
      <c r="C43" s="2" t="inlineStr">
        <is>
          <t>SNDK</t>
        </is>
      </c>
      <c r="D43" s="2" t="inlineStr">
        <is>
          <t>rebalance</t>
        </is>
      </c>
      <c r="E43" s="2" t="inlineStr">
        <is>
          <t>sell</t>
        </is>
      </c>
      <c r="F43" s="9" t="n">
        <v>1</v>
      </c>
      <c r="G43" s="9" t="n">
        <v>1</v>
      </c>
      <c r="H43" s="2" t="inlineStr">
        <is>
          <t>market, last minute before the close</t>
        </is>
      </c>
      <c r="I43" s="4" t="n">
        <v>1611.79</v>
      </c>
      <c r="J43" s="2" t="inlineStr">
        <is>
          <t>filled</t>
        </is>
      </c>
      <c r="K43" s="4" t="n">
        <v>1609.49</v>
      </c>
      <c r="L43" s="4" t="n">
        <v>1609.4599609375</v>
      </c>
      <c r="M43" s="10" t="n">
        <v>-0.1866406324424474</v>
      </c>
      <c r="N43" s="9">
        <f>IFERROR(G43*IF(K43&lt;&gt;"",K43,I43),"")</f>
        <v/>
      </c>
      <c r="O43" s="2" t="inlineStr">
        <is>
          <t>fund-2026-10-07-SNDK-rebalance</t>
        </is>
      </c>
    </row>
    <row r="44">
      <c r="A44" s="2" t="inlineStr">
        <is>
          <t>2026-10-07</t>
        </is>
      </c>
      <c r="B44" s="2" t="inlineStr">
        <is>
          <t>2026-10-08</t>
        </is>
      </c>
      <c r="C44" s="2" t="inlineStr">
        <is>
          <t>SPY</t>
        </is>
      </c>
      <c r="D44" s="2" t="inlineStr">
        <is>
          <t>rebalance</t>
        </is>
      </c>
      <c r="E44" s="2" t="inlineStr">
        <is>
          <t>sell</t>
        </is>
      </c>
      <c r="F44" s="9" t="n">
        <v>28</v>
      </c>
      <c r="G44" s="9" t="n">
        <v>28</v>
      </c>
      <c r="H44" s="2" t="inlineStr">
        <is>
          <t>market, last minute before the close</t>
        </is>
      </c>
      <c r="I44" s="4" t="n">
        <v>773.72</v>
      </c>
      <c r="J44" s="2" t="inlineStr">
        <is>
          <t>filled</t>
        </is>
      </c>
      <c r="K44" s="4" t="n">
        <v>773.95</v>
      </c>
      <c r="L44" s="4" t="n">
        <v>773.9299926757812</v>
      </c>
      <c r="M44" s="10" t="n">
        <v>-0.2585159434076445</v>
      </c>
      <c r="N44" s="9">
        <f>IFERROR(G44*IF(K44&lt;&gt;"",K44,I44),"")</f>
        <v/>
      </c>
      <c r="O44" s="2" t="inlineStr">
        <is>
          <t>fund-2026-10-07-SPY-rebalance</t>
        </is>
      </c>
    </row>
    <row r="45">
      <c r="A45" s="2" t="inlineStr">
        <is>
          <t>2026-10-07</t>
        </is>
      </c>
      <c r="B45" s="2" t="inlineStr">
        <is>
          <t>2026-10-08</t>
        </is>
      </c>
      <c r="C45" s="2" t="inlineStr">
        <is>
          <t>STX</t>
        </is>
      </c>
      <c r="D45" s="2" t="inlineStr">
        <is>
          <t>rebalance</t>
        </is>
      </c>
      <c r="E45" s="2" t="inlineStr">
        <is>
          <t>sell</t>
        </is>
      </c>
      <c r="F45" s="9" t="n">
        <v>3</v>
      </c>
      <c r="G45" s="9" t="n">
        <v>3</v>
      </c>
      <c r="H45" s="2" t="inlineStr">
        <is>
          <t>market, last minute before the close</t>
        </is>
      </c>
      <c r="I45" s="4" t="n">
        <v>775.01</v>
      </c>
      <c r="J45" s="2" t="inlineStr">
        <is>
          <t>filled</t>
        </is>
      </c>
      <c r="K45" s="4" t="n">
        <v>775.35</v>
      </c>
      <c r="L45" s="4" t="n">
        <v>774.8250122070312</v>
      </c>
      <c r="M45" s="10" t="n">
        <v>-6.775565898078373</v>
      </c>
      <c r="N45" s="9">
        <f>IFERROR(G45*IF(K45&lt;&gt;"",K45,I45),"")</f>
        <v/>
      </c>
      <c r="O45" s="2" t="inlineStr">
        <is>
          <t>fund-2026-10-07-STX-rebalance</t>
        </is>
      </c>
    </row>
    <row r="46">
      <c r="A46" s="2" t="inlineStr">
        <is>
          <t>2026-10-07</t>
        </is>
      </c>
      <c r="B46" s="2" t="inlineStr">
        <is>
          <t>2026-10-08</t>
        </is>
      </c>
      <c r="C46" s="2" t="inlineStr">
        <is>
          <t>WDC</t>
        </is>
      </c>
      <c r="D46" s="2" t="inlineStr">
        <is>
          <t>rebalance</t>
        </is>
      </c>
      <c r="E46" s="2" t="inlineStr">
        <is>
          <t>sell</t>
        </is>
      </c>
      <c r="F46" s="9" t="n">
        <v>8</v>
      </c>
      <c r="G46" s="9" t="n">
        <v>8</v>
      </c>
      <c r="H46" s="2" t="inlineStr">
        <is>
          <t>market, last minute before the close</t>
        </is>
      </c>
      <c r="I46" s="4" t="n">
        <v>392.75</v>
      </c>
      <c r="J46" s="2" t="inlineStr">
        <is>
          <t>filled</t>
        </is>
      </c>
      <c r="K46" s="4" t="n">
        <v>393.05</v>
      </c>
      <c r="L46" s="4" t="n">
        <v>393.3099975585938</v>
      </c>
      <c r="M46" s="10" t="n">
        <v>6.610499611188203</v>
      </c>
      <c r="N46" s="9">
        <f>IFERROR(G46*IF(K46&lt;&gt;"",K46,I46),"")</f>
        <v/>
      </c>
      <c r="O46" s="2" t="inlineStr">
        <is>
          <t>fund-2026-10-07-WDC-rebalance</t>
        </is>
      </c>
    </row>
    <row r="47">
      <c r="A47" s="2" t="inlineStr">
        <is>
          <t>2026-10-07</t>
        </is>
      </c>
      <c r="B47" s="2" t="inlineStr">
        <is>
          <t>2026-10-09</t>
        </is>
      </c>
      <c r="C47" s="2" t="inlineStr">
        <is>
          <t>AVGO</t>
        </is>
      </c>
      <c r="D47" s="2" t="inlineStr">
        <is>
          <t>review-reduce</t>
        </is>
      </c>
      <c r="E47" s="2" t="inlineStr">
        <is>
          <t>sell</t>
        </is>
      </c>
      <c r="F47" s="9" t="n">
        <v>3</v>
      </c>
      <c r="G47" s="9" t="n">
        <v>3</v>
      </c>
      <c r="H47" s="2" t="inlineStr">
        <is>
          <t>market-on-close (daily review)</t>
        </is>
      </c>
      <c r="I47" s="4" t="n">
        <v>361.66</v>
      </c>
      <c r="J47" s="2" t="inlineStr">
        <is>
          <t>filled</t>
        </is>
      </c>
      <c r="K47" s="4" t="n">
        <v>361.53</v>
      </c>
      <c r="L47" s="4" t="n">
        <v>361.5400085449219</v>
      </c>
      <c r="M47" s="10" t="n">
        <v>0.2768309090372955</v>
      </c>
      <c r="N47" s="9">
        <f>IFERROR(G47*IF(K47&lt;&gt;"",K47,I47),"")</f>
        <v/>
      </c>
      <c r="O47" s="2" t="inlineStr">
        <is>
          <t>fund-2026-10-07-AVGO-r20261009</t>
        </is>
      </c>
    </row>
    <row r="48">
      <c r="A48" s="2" t="inlineStr">
        <is>
          <t>2026-10-07</t>
        </is>
      </c>
      <c r="B48" s="2" t="inlineStr">
        <is>
          <t>2026-10-09</t>
        </is>
      </c>
      <c r="C48" s="2" t="inlineStr">
        <is>
          <t>PEP</t>
        </is>
      </c>
      <c r="D48" s="2" t="inlineStr">
        <is>
          <t>review-reduce</t>
        </is>
      </c>
      <c r="E48" s="2" t="inlineStr">
        <is>
          <t>buy</t>
        </is>
      </c>
      <c r="F48" s="9" t="n">
        <v>8</v>
      </c>
      <c r="G48" s="9" t="n">
        <v>8</v>
      </c>
      <c r="H48" s="2" t="inlineStr">
        <is>
          <t>market-on-close (daily review)</t>
        </is>
      </c>
      <c r="I48" s="4" t="n">
        <v>125.935</v>
      </c>
      <c r="J48" s="2" t="inlineStr">
        <is>
          <t>filled</t>
        </is>
      </c>
      <c r="K48" s="4" t="n">
        <v>125.99375</v>
      </c>
      <c r="L48" s="4" t="n">
        <v>125.9700012207031</v>
      </c>
      <c r="M48" s="10" t="n">
        <v>1.885272609887245</v>
      </c>
      <c r="N48" s="9">
        <f>IFERROR(G48*IF(K48&lt;&gt;"",K48,I48),"")</f>
        <v/>
      </c>
      <c r="O48" s="2" t="inlineStr">
        <is>
          <t>fund-2026-10-07-PEP-r20261009</t>
        </is>
      </c>
    </row>
    <row r="49">
      <c r="A49" s="2" t="inlineStr">
        <is>
          <t>2026-10-07</t>
        </is>
      </c>
      <c r="B49" s="2" t="inlineStr">
        <is>
          <t>2026-10-09</t>
        </is>
      </c>
      <c r="C49" s="2" t="inlineStr">
        <is>
          <t>SNDK</t>
        </is>
      </c>
      <c r="D49" s="2" t="inlineStr">
        <is>
          <t>review-increase</t>
        </is>
      </c>
      <c r="E49" s="2" t="inlineStr">
        <is>
          <t>sell</t>
        </is>
      </c>
      <c r="F49" s="9" t="n">
        <v>1</v>
      </c>
      <c r="G49" s="9" t="n">
        <v>1</v>
      </c>
      <c r="H49" s="2" t="inlineStr">
        <is>
          <t>market-on-close (daily review)</t>
        </is>
      </c>
      <c r="I49" s="4" t="n">
        <v>1582.225</v>
      </c>
      <c r="J49" s="2" t="inlineStr">
        <is>
          <t>filled</t>
        </is>
      </c>
      <c r="K49" s="4" t="n">
        <v>1581.73</v>
      </c>
      <c r="L49" s="4" t="n">
        <v>1581.819946289062</v>
      </c>
      <c r="M49" s="10" t="n">
        <v>0.5686253310532852</v>
      </c>
      <c r="N49" s="9">
        <f>IFERROR(G49*IF(K49&lt;&gt;"",K49,I49),"")</f>
        <v/>
      </c>
      <c r="O49" s="2" t="inlineStr">
        <is>
          <t>fund-2026-10-07-SNDK-r20261009</t>
        </is>
      </c>
    </row>
    <row r="50">
      <c r="A50" s="2" t="inlineStr">
        <is>
          <t>2026-10-07</t>
        </is>
      </c>
      <c r="B50" s="2" t="inlineStr">
        <is>
          <t>2026-10-09</t>
        </is>
      </c>
      <c r="C50" s="2" t="inlineStr">
        <is>
          <t>SPY</t>
        </is>
      </c>
      <c r="D50" s="2" t="inlineStr">
        <is>
          <t>review-rehedge</t>
        </is>
      </c>
      <c r="E50" s="2" t="inlineStr">
        <is>
          <t>buy</t>
        </is>
      </c>
      <c r="F50" s="9" t="n">
        <v>4</v>
      </c>
      <c r="G50" s="9" t="n">
        <v>4</v>
      </c>
      <c r="H50" s="2" t="inlineStr">
        <is>
          <t>market-on-close (daily review)</t>
        </is>
      </c>
      <c r="I50" s="4" t="n">
        <v>778.47</v>
      </c>
      <c r="J50" s="2" t="inlineStr">
        <is>
          <t>filled</t>
        </is>
      </c>
      <c r="K50" s="4" t="n">
        <v>778.28</v>
      </c>
      <c r="L50" s="4" t="n">
        <v>778.5700073242188</v>
      </c>
      <c r="M50" s="10" t="n">
        <v>-3.724871514322325</v>
      </c>
      <c r="N50" s="9">
        <f>IFERROR(G50*IF(K50&lt;&gt;"",K50,I50),"")</f>
        <v/>
      </c>
      <c r="O50" s="2" t="inlineStr">
        <is>
          <t>fund-2026-10-07-SPY-r20261009</t>
        </is>
      </c>
    </row>
  </sheetData>
  <autoFilter ref="A1:O5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8"/>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4" customWidth="1" min="3" max="3"/>
    <col width="12" customWidth="1" min="4" max="4"/>
    <col width="16" customWidth="1" min="5" max="5"/>
    <col width="16" customWidth="1" min="6" max="6"/>
  </cols>
  <sheetData>
    <row r="1" ht="30" customHeight="1">
      <c r="A1" s="1" t="inlineStr">
        <is>
          <t>Day</t>
        </is>
      </c>
      <c r="B1" s="1" t="inlineStr">
        <is>
          <t>Paper account value ($)</t>
        </is>
      </c>
      <c r="C1" s="1" t="inlineStr">
        <is>
          <t>Invested ($)</t>
        </is>
      </c>
      <c r="D1" s="1" t="inlineStr">
        <is>
          <t>Daily return (%)</t>
        </is>
      </c>
      <c r="E1" s="1" t="inlineStr">
        <is>
          <t>P&amp;L since first trade ($)</t>
        </is>
      </c>
      <c r="F1" s="1" t="inlineStr">
        <is>
          <t>Return on invested (%)</t>
        </is>
      </c>
    </row>
    <row r="2">
      <c r="A2" s="2" t="inlineStr">
        <is>
          <t>2026-10-01</t>
        </is>
      </c>
      <c r="B2" s="11" t="n">
        <v>100000</v>
      </c>
      <c r="C2" s="11" t="n">
        <v>10953.86</v>
      </c>
      <c r="D2" s="5" t="inlineStr"/>
      <c r="E2" s="12">
        <f>B2-$B$2</f>
        <v/>
      </c>
      <c r="F2" s="5">
        <f>IF(C2&gt;0,E2/C2,"")</f>
        <v/>
      </c>
    </row>
    <row r="3">
      <c r="A3" s="2" t="inlineStr">
        <is>
          <t>2026-10-02</t>
        </is>
      </c>
      <c r="B3" s="11" t="n">
        <v>99999.89</v>
      </c>
      <c r="C3" s="11" t="n">
        <v>10953.86</v>
      </c>
      <c r="D3" s="5">
        <f>IF(C2&gt;0,(B3-B2)/C2,"")</f>
        <v/>
      </c>
      <c r="E3" s="12">
        <f>B3-$B$2</f>
        <v/>
      </c>
      <c r="F3" s="5">
        <f>IF(C3&gt;0,E3/C3,"")</f>
        <v/>
      </c>
    </row>
    <row r="4">
      <c r="A4" s="2" t="inlineStr">
        <is>
          <t>2026-10-03</t>
        </is>
      </c>
      <c r="B4" s="11" t="n">
        <v>99968.23</v>
      </c>
      <c r="C4" s="11" t="n">
        <v>10953.86</v>
      </c>
      <c r="D4" s="5">
        <f>IF(C3&gt;0,(B4-B3)/C3,"")</f>
        <v/>
      </c>
      <c r="E4" s="12">
        <f>B4-$B$2</f>
        <v/>
      </c>
      <c r="F4" s="5">
        <f>IF(C4&gt;0,E4/C4,"")</f>
        <v/>
      </c>
    </row>
    <row r="5">
      <c r="A5" s="2" t="inlineStr">
        <is>
          <t>2026-10-06</t>
        </is>
      </c>
      <c r="B5" s="11" t="n">
        <v>99986.53</v>
      </c>
      <c r="C5" s="11" t="n">
        <v>10953.86</v>
      </c>
      <c r="D5" s="5">
        <f>IF(C4&gt;0,(B5-B4)/C4,"")</f>
        <v/>
      </c>
      <c r="E5" s="12">
        <f>B5-$B$2</f>
        <v/>
      </c>
      <c r="F5" s="5">
        <f>IF(C5&gt;0,E5/C5,"")</f>
        <v/>
      </c>
    </row>
    <row r="6">
      <c r="A6" s="2" t="inlineStr">
        <is>
          <t>2026-10-07</t>
        </is>
      </c>
      <c r="B6" s="11" t="n">
        <v>100026.93</v>
      </c>
      <c r="C6" s="11" t="n">
        <v>10057.94</v>
      </c>
      <c r="D6" s="5">
        <f>IF(C5&gt;0,(B6-B5)/C5,"")</f>
        <v/>
      </c>
      <c r="E6" s="12">
        <f>B6-$B$2</f>
        <v/>
      </c>
      <c r="F6" s="5">
        <f>IF(C6&gt;0,E6/C6,"")</f>
        <v/>
      </c>
    </row>
    <row r="7">
      <c r="A7" s="2" t="inlineStr">
        <is>
          <t>2026-10-08</t>
        </is>
      </c>
      <c r="B7" s="11" t="n">
        <v>100100.07</v>
      </c>
      <c r="C7" s="11" t="n">
        <v>84104.11985517187</v>
      </c>
      <c r="D7" s="5">
        <f>IF(C6&gt;0,(B7-B6)/C6,"")</f>
        <v/>
      </c>
      <c r="E7" s="12">
        <f>B7-$B$2</f>
        <v/>
      </c>
      <c r="F7" s="5">
        <f>IF(C7&gt;0,E7/C7,"")</f>
        <v/>
      </c>
    </row>
    <row r="8">
      <c r="A8" s="2" t="inlineStr">
        <is>
          <t>2026-10-09</t>
        </is>
      </c>
      <c r="B8" s="11" t="n">
        <v>100051.96</v>
      </c>
      <c r="C8" s="11" t="n">
        <v>80551.03985217187</v>
      </c>
      <c r="D8" s="5">
        <f>IF(C7&gt;0,(B8-B7)/C7,"")</f>
        <v/>
      </c>
      <c r="E8" s="12">
        <f>B8-$B$2</f>
        <v/>
      </c>
      <c r="F8" s="5">
        <f>IF(C8&gt;0,E8/C8,"")</f>
        <v/>
      </c>
    </row>
  </sheetData>
  <autoFilter ref="A1:F8"/>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8"/>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s>
  <sheetData>
    <row r="1" ht="30" customHeight="1">
      <c r="A1" s="1" t="inlineStr">
        <is>
          <t>Date</t>
        </is>
      </c>
      <c r="B1" s="1" t="inlineStr">
        <is>
          <t>Type</t>
        </is>
      </c>
      <c r="C1" s="1" t="inlineStr">
        <is>
          <t>Ticker</t>
        </is>
      </c>
      <c r="D1" s="1" t="inlineStr">
        <is>
          <t>Quantity</t>
        </is>
      </c>
      <c r="E1" s="1" t="inlineStr">
        <is>
          <t>Per share ($)</t>
        </is>
      </c>
      <c r="F1" s="1" t="inlineStr">
        <is>
          <t>Amount ($)</t>
        </is>
      </c>
    </row>
    <row r="2">
      <c r="A2" s="2" t="inlineStr">
        <is>
          <t>2026-10-01</t>
        </is>
      </c>
      <c r="B2" s="2" t="inlineStr">
        <is>
          <t>FEE</t>
        </is>
      </c>
      <c r="C2" s="2" t="n"/>
      <c r="D2" s="9" t="n"/>
      <c r="E2" s="13" t="n"/>
      <c r="F2" s="12" t="n">
        <v>-0.11</v>
      </c>
    </row>
    <row r="3">
      <c r="A3" s="2" t="inlineStr">
        <is>
          <t>2026-10-01</t>
        </is>
      </c>
      <c r="B3" s="2" t="inlineStr">
        <is>
          <t>FEE</t>
        </is>
      </c>
      <c r="C3" s="2" t="n"/>
      <c r="D3" s="9" t="n"/>
      <c r="E3" s="13" t="n"/>
      <c r="F3" s="12" t="n">
        <v>-0.01</v>
      </c>
    </row>
    <row r="4">
      <c r="A4" s="2" t="inlineStr">
        <is>
          <t>2026-10-06</t>
        </is>
      </c>
      <c r="B4" s="2" t="inlineStr">
        <is>
          <t>FEE</t>
        </is>
      </c>
      <c r="C4" s="2" t="n"/>
      <c r="D4" s="9" t="n"/>
      <c r="E4" s="13" t="n"/>
      <c r="F4" s="12" t="n">
        <v>-0.01</v>
      </c>
    </row>
    <row r="5">
      <c r="A5" s="2" t="inlineStr">
        <is>
          <t>2026-10-07</t>
        </is>
      </c>
      <c r="B5" s="2" t="inlineStr">
        <is>
          <t>FEE</t>
        </is>
      </c>
      <c r="C5" s="2" t="n"/>
      <c r="D5" s="9" t="n"/>
      <c r="E5" s="13" t="n"/>
      <c r="F5" s="12" t="n">
        <v>-0.01</v>
      </c>
    </row>
    <row r="6">
      <c r="A6" s="2" t="inlineStr">
        <is>
          <t>2026-10-07</t>
        </is>
      </c>
      <c r="B6" s="2" t="inlineStr">
        <is>
          <t>FEE</t>
        </is>
      </c>
      <c r="C6" s="2" t="n"/>
      <c r="D6" s="9" t="n"/>
      <c r="E6" s="13" t="n"/>
      <c r="F6" s="12" t="n">
        <v>-0.06</v>
      </c>
    </row>
    <row r="7">
      <c r="A7" s="2" t="inlineStr">
        <is>
          <t>2026-10-08</t>
        </is>
      </c>
      <c r="B7" s="2" t="inlineStr">
        <is>
          <t>FEE</t>
        </is>
      </c>
      <c r="C7" s="2" t="n"/>
      <c r="D7" s="9" t="n"/>
      <c r="E7" s="13" t="n"/>
      <c r="F7" s="12" t="n">
        <v>-1</v>
      </c>
    </row>
    <row r="8">
      <c r="A8" s="2" t="inlineStr">
        <is>
          <t>2026-10-08</t>
        </is>
      </c>
      <c r="B8" s="2" t="inlineStr">
        <is>
          <t>FEE</t>
        </is>
      </c>
      <c r="C8" s="2" t="n"/>
      <c r="D8" s="9" t="n"/>
      <c r="E8" s="13" t="n"/>
      <c r="F8" s="12" t="n">
        <v>-0.01</v>
      </c>
    </row>
  </sheetData>
  <autoFilter ref="A1:F8"/>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9"/>
  <sheetViews>
    <sheetView workbookViewId="0">
      <selection activeCell="A1" sqref="A1"/>
    </sheetView>
  </sheetViews>
  <sheetFormatPr baseColWidth="8" defaultRowHeight="15"/>
  <cols>
    <col width="150" customWidth="1" min="1" max="1"/>
  </cols>
  <sheetData>
    <row r="1">
      <c r="A1" s="2" t="inlineStr">
        <is>
          <t>Fund position ledger (Protocol 6). Actual Alpaca paper-account trades only: weeks that were not executed, and model-only books, are left out. Rebuilt automatically after each weekly run and each execution/reconciliation; do not edit.</t>
        </is>
      </c>
    </row>
    <row r="2">
      <c r="A2" s="2" t="inlineStr">
        <is>
          <t>Positions: one row per lot: a name held for a week, split where a daily review changed the shares (exit, reduce or increase at that day's close). The book is re-decided every Wednesday and traded at the next session's close (market-on-close).</t>
        </is>
      </c>
    </row>
    <row r="3">
      <c r="A3" s="2" t="inlineStr">
        <is>
          <t>Entry price: the fill if the name traded on the execution day, otherwise that day's official close. Exit price: the next execution day's official close.</t>
        </is>
      </c>
    </row>
    <row r="4">
      <c r="A4" s="2" t="inlineStr">
        <is>
          <t>Status Open: the week has not ended; Return and P&amp;L use the Current price (latest close). Returns are price returns, dividends excluded, before costs.</t>
        </is>
      </c>
    </row>
    <row r="5">
      <c r="A5" s="2" t="inlineStr">
        <is>
          <t>P&amp;L ($): signed shares x (exit or current price - entry). Lot boundaries use the actual Alpaca fill of the order traded there (weekly or daily review), else the official close, so lot P&amp;Ls add up to the account's trading P&amp;L.</t>
        </is>
      </c>
    </row>
    <row r="6">
      <c r="A6" s="2" t="inlineStr">
        <is>
          <t>Cash activity: dividends received on longs and paid on shorts, fees and interest from Alpaca; together with P&amp;L they explain the Account sheet's value.</t>
        </is>
      </c>
    </row>
    <row r="7">
      <c r="A7" s="2" t="inlineStr">
        <is>
          <t>Account sheet: the paper account's daily value from Alpaca, from the first trade on. Invested: gross capital in positions at the day's close (long plus short, shares x entry price). Daily return: the day's change in account value over the previous close's invested amount. Return on invested: the account's P&amp;L since the first trade over that day's invested amount.</t>
        </is>
      </c>
    </row>
    <row r="8">
      <c r="A8" s="2" t="inlineStr">
        <is>
          <t>Confidence: the analyst's confidence (0-1); Red team: uphold or weaken. SPY rows are the beta hedge.</t>
        </is>
      </c>
    </row>
    <row r="9">
      <c r="A9" s="2" t="inlineStr">
        <is>
          <t>Source records: fund-data branch, fund_state/live/&lt;week&gt;/ (book.json, execution.json, analysts.json, redteam.json) and fund_state/live/execution/fills.csv.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2026-10-12T19:46:42Z</dcterms:created>
  <dcterms:modified xmlns:dcterms="http://purl.org/dc/terms/" xmlns:xsi="http://www.w3.org/2001/XMLSchema-instance" xsi:type="dcterms:W3CDTF">2026-10-12T19:46:42Z</dcterms:modified>
</cp:coreProperties>
</file>