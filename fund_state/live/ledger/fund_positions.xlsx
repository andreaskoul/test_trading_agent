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trades'!$A$1:$H$32</definedName>
    <definedName name="_xlnm._FilterDatabase" localSheetId="3" hidden="1">'Positions'!$A$1:$Q$71</definedName>
    <definedName name="_xlnm._FilterDatabase" localSheetId="4" hidden="1">'Orders'!$A$1:$O$87</definedName>
    <definedName name="_xlnm._FilterDatabase" localSheetId="5" hidden="1">'Account'!$A$1:$F$12</definedName>
    <definedName name="_xlnm._FilterDatabase" localSheetId="6" hidden="1">'Cash activity'!$A$1:$F$14</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2026-10-15 21:11 ET)</t>
        </is>
      </c>
      <c r="B2" s="3" t="n">
        <v>98040.338</v>
      </c>
    </row>
    <row r="3">
      <c r="A3" s="2" t="inlineStr">
        <is>
          <t>Net deposits</t>
        </is>
      </c>
      <c r="B3" s="3" t="n">
        <v>100000</v>
      </c>
    </row>
    <row r="4">
      <c r="A4" s="2" t="inlineStr">
        <is>
          <t>Account P&amp;L</t>
        </is>
      </c>
      <c r="B4" s="3">
        <f>B2-B3</f>
        <v/>
      </c>
    </row>
    <row r="5">
      <c r="A5" s="2" t="inlineStr">
        <is>
          <t>Realized P&amp;L (closed shares, FIFO)</t>
        </is>
      </c>
      <c r="B5" s="3" t="n">
        <v>-48.65999999999804</v>
      </c>
    </row>
    <row r="6">
      <c r="A6" s="2" t="inlineStr">
        <is>
          <t>Unrealized P&amp;L (open shares at Alpaca marks)</t>
        </is>
      </c>
      <c r="B6" s="3" t="n">
        <v>-1909.622000000002</v>
      </c>
    </row>
    <row r="7">
      <c r="A7" s="2" t="inlineStr">
        <is>
          <t>Dividends, fees &amp; interest</t>
        </is>
      </c>
      <c r="B7" s="3" t="n">
        <v>-1.38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554.8</v>
      </c>
      <c r="H2" s="6">
        <f>D2*G2</f>
        <v/>
      </c>
      <c r="I2" s="3">
        <f>D2*(G2-F2)</f>
        <v/>
      </c>
      <c r="J2" s="7">
        <f>IF(D2&gt;0,1,-1)*(G2/F2-1)</f>
        <v/>
      </c>
    </row>
    <row r="3">
      <c r="A3" s="2" t="inlineStr">
        <is>
          <t>BAC</t>
        </is>
      </c>
      <c r="B3" s="2" t="inlineStr">
        <is>
          <t>BAC</t>
        </is>
      </c>
      <c r="C3" s="2" t="inlineStr">
        <is>
          <t>Short</t>
        </is>
      </c>
      <c r="D3" s="4" t="n">
        <v>-44</v>
      </c>
      <c r="E3" s="2" t="inlineStr">
        <is>
          <t>2026-10-15</t>
        </is>
      </c>
      <c r="F3" s="5" t="n">
        <v>51.63999999999999</v>
      </c>
      <c r="G3" s="5" t="n">
        <v>51.75</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247.38</v>
      </c>
      <c r="H4" s="6">
        <f>D4*G4</f>
        <v/>
      </c>
      <c r="I4" s="3">
        <f>D4*(G4-F4)</f>
        <v/>
      </c>
      <c r="J4" s="7">
        <f>IF(D4&gt;0,1,-1)*(G4/F4-1)</f>
        <v/>
      </c>
    </row>
    <row r="5">
      <c r="A5" s="2" t="inlineStr">
        <is>
          <t>DAL</t>
        </is>
      </c>
      <c r="B5" s="2" t="inlineStr">
        <is>
          <t>DAL</t>
        </is>
      </c>
      <c r="C5" s="2" t="inlineStr">
        <is>
          <t>Short</t>
        </is>
      </c>
      <c r="D5" s="4" t="n">
        <v>-60</v>
      </c>
      <c r="E5" s="2" t="inlineStr">
        <is>
          <t>2026-10-15</t>
        </is>
      </c>
      <c r="F5" s="5" t="n">
        <v>78.10999999999999</v>
      </c>
      <c r="G5" s="5" t="n">
        <v>77.9832</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58.33</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335.67</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23.27</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239.18</v>
      </c>
      <c r="H9" s="6">
        <f>D9*G9</f>
        <v/>
      </c>
      <c r="I9" s="3">
        <f>D9*(G9-F9)</f>
        <v/>
      </c>
      <c r="J9" s="7">
        <f>IF(D9&gt;0,1,-1)*(G9/F9-1)</f>
        <v/>
      </c>
    </row>
    <row r="10">
      <c r="A10" s="2" t="inlineStr">
        <is>
          <t>MSFT</t>
        </is>
      </c>
      <c r="B10" s="2" t="inlineStr">
        <is>
          <t>MSFT</t>
        </is>
      </c>
      <c r="C10" s="2" t="inlineStr">
        <is>
          <t>Long</t>
        </is>
      </c>
      <c r="D10" s="4" t="n">
        <v>5</v>
      </c>
      <c r="E10" s="2" t="inlineStr">
        <is>
          <t>2026-10-15</t>
        </is>
      </c>
      <c r="F10" s="5" t="n">
        <v>539.6299999999999</v>
      </c>
      <c r="G10" s="5" t="n">
        <v>538.48</v>
      </c>
      <c r="H10" s="6">
        <f>D10*G10</f>
        <v/>
      </c>
      <c r="I10" s="3">
        <f>D10*(G10-F10)</f>
        <v/>
      </c>
      <c r="J10" s="7">
        <f>IF(D10&gt;0,1,-1)*(G10/F10-1)</f>
        <v/>
      </c>
    </row>
    <row r="11">
      <c r="A11" s="2" t="inlineStr">
        <is>
          <t>NFLX</t>
        </is>
      </c>
      <c r="B11" s="2" t="inlineStr">
        <is>
          <t>NFLX</t>
        </is>
      </c>
      <c r="C11" s="2" t="inlineStr">
        <is>
          <t>Short</t>
        </is>
      </c>
      <c r="D11" s="4" t="n">
        <v>-30</v>
      </c>
      <c r="E11" s="2" t="inlineStr">
        <is>
          <t>2026-10-15</t>
        </is>
      </c>
      <c r="F11" s="5" t="n">
        <v>72.61</v>
      </c>
      <c r="G11" s="5" t="n">
        <v>72.02</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37.21</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217.85</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72.90000000000001</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133.99</v>
      </c>
      <c r="H15" s="6">
        <f>D15*G15</f>
        <v/>
      </c>
      <c r="I15" s="3">
        <f>D15*(G15-F15)</f>
        <v/>
      </c>
      <c r="J15" s="7">
        <f>IF(D15&gt;0,1,-1)*(G15/F15-1)</f>
        <v/>
      </c>
    </row>
    <row r="16">
      <c r="A16" s="2" t="inlineStr">
        <is>
          <t>SMCI</t>
        </is>
      </c>
      <c r="B16" s="2" t="inlineStr">
        <is>
          <t>SMCI</t>
        </is>
      </c>
      <c r="C16" s="2" t="inlineStr">
        <is>
          <t>Short</t>
        </is>
      </c>
      <c r="D16" s="4" t="n">
        <v>-62</v>
      </c>
      <c r="E16" s="2" t="inlineStr">
        <is>
          <t>2026-10-15</t>
        </is>
      </c>
      <c r="F16" s="5" t="n">
        <v>35.09467741935484</v>
      </c>
      <c r="G16" s="5" t="n">
        <v>35.1</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167.6</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364.57</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313.03</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sheetData>
  <autoFilter ref="A1:H3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771.7899780273438</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941.780029296875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931.239990234375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931.239990234375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72.61000061035156</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525.6799926757812</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99.08999633789062</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129.5800018310547</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771.7899780273438</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771.7899780273438</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771.7899780273438</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771.7899780273438</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562.22998046875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562.22998046875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344.3299865722656</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344.3299865722656</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344.3299865722656</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188.7299957275391</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Open</t>
        </is>
      </c>
      <c r="G20" s="2" t="inlineStr">
        <is>
          <t>2026-10-08</t>
        </is>
      </c>
      <c r="H20" s="2" t="inlineStr"/>
      <c r="I20" s="4" t="n">
        <v>10</v>
      </c>
      <c r="J20" s="5" t="n">
        <v>285.07</v>
      </c>
      <c r="K20" s="5" t="n"/>
      <c r="L20" s="5" t="n">
        <v>279.5400085449219</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349.2200012207031</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Open</t>
        </is>
      </c>
      <c r="G22" s="2" t="inlineStr">
        <is>
          <t>2026-10-08</t>
        </is>
      </c>
      <c r="H22" s="2" t="inlineStr"/>
      <c r="I22" s="4" t="n">
        <v>40</v>
      </c>
      <c r="J22" s="5" t="n">
        <v>70.92</v>
      </c>
      <c r="K22" s="5" t="n"/>
      <c r="L22" s="5" t="n">
        <v>63.11000061035156</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Open</t>
        </is>
      </c>
      <c r="G23" s="2" t="inlineStr">
        <is>
          <t>2026-10-08</t>
        </is>
      </c>
      <c r="H23" s="2" t="inlineStr"/>
      <c r="I23" s="4" t="n">
        <v>3</v>
      </c>
      <c r="J23" s="5" t="n">
        <v>1050.046667</v>
      </c>
      <c r="K23" s="5" t="n"/>
      <c r="L23" s="5" t="n">
        <v>896.3300170898438</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1251.609985351562</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241.2400054931641</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217.2299957275391</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217.2299957275391</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525.6799926757812</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99.08999633789062</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242.5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Open</t>
        </is>
      </c>
      <c r="G31" s="2" t="inlineStr">
        <is>
          <t>2026-10-08</t>
        </is>
      </c>
      <c r="H31" s="2" t="inlineStr"/>
      <c r="I31" s="4" t="n">
        <v>-4</v>
      </c>
      <c r="J31" s="5" t="n">
        <v>720.8099999999999</v>
      </c>
      <c r="K31" s="5" t="n"/>
      <c r="L31" s="5" t="n">
        <v>737.5399780273438</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37.13999938964844</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128.3800048828125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128.3800048828125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1403.339965820312</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Open</t>
        </is>
      </c>
      <c r="G36" s="2" t="inlineStr">
        <is>
          <t>2026-10-09</t>
        </is>
      </c>
      <c r="H36" s="2" t="inlineStr"/>
      <c r="I36" s="4" t="n">
        <v>-2</v>
      </c>
      <c r="J36" s="5" t="n">
        <v>1581.73</v>
      </c>
      <c r="K36" s="5" t="n"/>
      <c r="L36" s="5" t="n">
        <v>1403.339965820312</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690.8099975585938</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356.4500122070312</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344.3299865722656</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188.7299957275391</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525.6799926757812</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279.5400085449219</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349.2200012207031</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896.3300170898438</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1251.609985351562</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99.08999633789062</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242.5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737.5399780273438</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128.3800048828125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1403.339965820312</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771.7899780273438</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690.8099975585938</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356.4500122070312</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562.22998046875</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63.11000061035156</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241.2400054931641</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37.13999938964844</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217.2299957275391</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-44</v>
      </c>
      <c r="J59" s="5" t="n">
        <v>51.63999999999999</v>
      </c>
      <c r="K59" s="5" t="n"/>
      <c r="L59" s="5" t="n">
        <v>51.70000076293945</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246.7400054931641</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-60</v>
      </c>
      <c r="J61" s="5" t="n">
        <v>78.11</v>
      </c>
      <c r="K61" s="5" t="n"/>
      <c r="L61" s="5" t="n">
        <v>78.08000183105469</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335.5299987792969</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22.70000076293945</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5</v>
      </c>
      <c r="J64" s="5" t="n">
        <v>539.63</v>
      </c>
      <c r="K64" s="5" t="n"/>
      <c r="L64" s="5" t="n">
        <v>539.4400024414062</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-30</v>
      </c>
      <c r="J65" s="5" t="n">
        <v>72.61</v>
      </c>
      <c r="K65" s="5" t="n"/>
      <c r="L65" s="5" t="n">
        <v>72.61000061035156</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73.69999694824219</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134.4700012207031</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-62</v>
      </c>
      <c r="J68" s="5" t="n">
        <v>35.094677</v>
      </c>
      <c r="K68" s="5" t="n"/>
      <c r="L68" s="5" t="n">
        <v>35.09000015258789</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167.6000061035156</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362.4400024414062</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297.3500061035156</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8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sheetData>
  <autoFilter ref="A1:O8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69688.55994570313</v>
      </c>
      <c r="D12" s="7">
        <f>IF(C11&gt;0,(B12-B11)/C11,"")</f>
        <v/>
      </c>
      <c r="E12" s="3">
        <f>B12-$B$2</f>
        <v/>
      </c>
      <c r="F12" s="7">
        <f>IF(C12&gt;0,E12/C12,"")</f>
        <v/>
      </c>
    </row>
  </sheetData>
  <autoFilter ref="A1:F1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sheetData>
  <autoFilter ref="A1:F1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2026-10-16T01:11:06Z</dcterms:created>
  <dcterms:modified xmlns:dcterms="http://purl.org/dc/terms/" xmlns:xsi="http://www.w3.org/2001/XMLSchema-instance" xsi:type="dcterms:W3CDTF">2026-10-16T01:11:11Z</dcterms:modified>
</cp:coreProperties>
</file>