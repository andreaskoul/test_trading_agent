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trades'!$A$1:$H$55</definedName>
    <definedName name="_xlnm._FilterDatabase" localSheetId="3" hidden="1">'Positions'!$A$1:$Q$90</definedName>
    <definedName name="_xlnm._FilterDatabase" localSheetId="4" hidden="1">'Orders'!$A$1:$O$142</definedName>
    <definedName name="_xlnm._FilterDatabase" localSheetId="5" hidden="1">'Account'!$A$1:$F$18</definedName>
    <definedName name="_xlnm._FilterDatabase" localSheetId="6" hidden="1">'Cash activity'!$A$1:$F$25</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2026-10-26 10:15 ET)</t>
        </is>
      </c>
      <c r="B2" s="3" t="n">
        <v>97474.39999999999</v>
      </c>
    </row>
    <row r="3">
      <c r="A3" s="2" t="inlineStr">
        <is>
          <t>Net deposits</t>
        </is>
      </c>
      <c r="B3" s="3" t="n">
        <v>100000</v>
      </c>
    </row>
    <row r="4">
      <c r="A4" s="2" t="inlineStr">
        <is>
          <t>Account P&amp;L</t>
        </is>
      </c>
      <c r="B4" s="3">
        <f>B2-B3</f>
        <v/>
      </c>
    </row>
    <row r="5">
      <c r="A5" s="2" t="inlineStr">
        <is>
          <t>Realized P&amp;L (closed shares, FIFO)</t>
        </is>
      </c>
      <c r="B5" s="3" t="n">
        <v>-935.8299999999981</v>
      </c>
    </row>
    <row r="6">
      <c r="A6" s="2" t="inlineStr">
        <is>
          <t>Unrealized P&amp;L (open shares at Alpaca marks)</t>
        </is>
      </c>
      <c r="B6" s="3" t="n">
        <v>-1585.530000000001</v>
      </c>
    </row>
    <row r="7">
      <c r="A7" s="2" t="inlineStr">
        <is>
          <t>Dividends, fees &amp; interest</t>
        </is>
      </c>
      <c r="B7" s="3" t="n">
        <v>-4.239999999999999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344.45</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326.51</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188.01</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28.535</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248.4</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51.415</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118.3</v>
      </c>
      <c r="H8" s="6">
        <f>D8*G8</f>
        <v/>
      </c>
      <c r="I8" s="3">
        <f>D8*(G8-F8)</f>
        <v/>
      </c>
      <c r="J8" s="7">
        <f>IF(D8&gt;0,1,-1)*(G8/F8-1)</f>
        <v/>
      </c>
    </row>
    <row r="9">
      <c r="A9" s="2" t="inlineStr">
        <is>
          <t>LRCX</t>
        </is>
      </c>
      <c r="B9" s="2" t="inlineStr">
        <is>
          <t>LRCX</t>
        </is>
      </c>
      <c r="C9" s="2" t="inlineStr">
        <is>
          <t>Short</t>
        </is>
      </c>
      <c r="D9" s="4" t="n">
        <v>-13</v>
      </c>
      <c r="E9" s="2" t="inlineStr">
        <is>
          <t>2026-10-22</t>
        </is>
      </c>
      <c r="F9" s="5" t="n">
        <v>230.03</v>
      </c>
      <c r="G9" s="5" t="n">
        <v>236.129</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174.36</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226.8</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526.41</v>
      </c>
      <c r="H12" s="6">
        <f>D12*G12</f>
        <v/>
      </c>
      <c r="I12" s="3">
        <f>D12*(G12-F12)</f>
        <v/>
      </c>
      <c r="J12" s="7">
        <f>IF(D12&gt;0,1,-1)*(G12/F12-1)</f>
        <v/>
      </c>
    </row>
    <row r="13">
      <c r="A13" s="2" t="inlineStr">
        <is>
          <t>NFLX</t>
        </is>
      </c>
      <c r="B13" s="2" t="inlineStr">
        <is>
          <t>NFLX</t>
        </is>
      </c>
      <c r="C13" s="2" t="inlineStr">
        <is>
          <t>Short</t>
        </is>
      </c>
      <c r="D13" s="4" t="n">
        <v>-42</v>
      </c>
      <c r="E13" s="2" t="inlineStr">
        <is>
          <t>2026-10-22</t>
        </is>
      </c>
      <c r="F13" s="5" t="n">
        <v>67.04000000000001</v>
      </c>
      <c r="G13" s="5" t="n">
        <v>65.27500000000001</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38.295</v>
      </c>
      <c r="H14" s="6">
        <f>D14*G14</f>
        <v/>
      </c>
      <c r="I14" s="3">
        <f>D14*(G14-F14)</f>
        <v/>
      </c>
      <c r="J14" s="7">
        <f>IF(D14&gt;0,1,-1)*(G14/F14-1)</f>
        <v/>
      </c>
    </row>
    <row r="15">
      <c r="A15" s="2" t="inlineStr">
        <is>
          <t>ROL</t>
        </is>
      </c>
      <c r="B15" s="2" t="inlineStr">
        <is>
          <t>ROL</t>
        </is>
      </c>
      <c r="C15" s="2" t="inlineStr">
        <is>
          <t>Short</t>
        </is>
      </c>
      <c r="D15" s="4" t="n">
        <v>-198</v>
      </c>
      <c r="E15" s="2" t="inlineStr">
        <is>
          <t>2026-10-22</t>
        </is>
      </c>
      <c r="F15" s="5" t="n">
        <v>35.28</v>
      </c>
      <c r="G15" s="5" t="n">
        <v>34.97</v>
      </c>
      <c r="H15" s="6">
        <f>D15*G15</f>
        <v/>
      </c>
      <c r="I15" s="3">
        <f>D15*(G15-F15)</f>
        <v/>
      </c>
      <c r="J15" s="7">
        <f>IF(D15&gt;0,1,-1)*(G15/F15-1)</f>
        <v/>
      </c>
    </row>
    <row r="16">
      <c r="A16" s="2" t="inlineStr">
        <is>
          <t>SMCI</t>
        </is>
      </c>
      <c r="B16" s="2" t="inlineStr">
        <is>
          <t>SMCI</t>
        </is>
      </c>
      <c r="C16" s="2" t="inlineStr">
        <is>
          <t>Long</t>
        </is>
      </c>
      <c r="D16" s="4" t="n">
        <v>267</v>
      </c>
      <c r="E16" s="2" t="inlineStr">
        <is>
          <t>2026-10-22</t>
        </is>
      </c>
      <c r="F16" s="5" t="n">
        <v>33.45947565543072</v>
      </c>
      <c r="G16" s="5" t="n">
        <v>32.96</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764.9400000000001</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393.6406</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121.67</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183.08</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sheetData>
  <autoFilter ref="A1:H5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764.8099999999999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829.0700000000001</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887.48</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887.48</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65.28</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544.9</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103.72</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137.25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764.8099999999999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764.8099999999999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764.8099999999999</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764.8099999999999</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517.97</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517.97</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326.42</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326.42</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326.42</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187.98</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251.77</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319.64</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57.64</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785.78</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1287.02</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226.7</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214.61</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214.61</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544.9</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103.72</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252.525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634.99</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38.275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137.1</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137.1</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1246.23</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1246.23</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630.175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345.96</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326.54</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187.98</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544.9</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251.77</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319.65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785.78</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1287.31</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103.72</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252.525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635.1900000000001</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137.1</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1246.23</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764.9299999999999</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630.175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345.96</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32.96</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324.415</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526.3</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65.29000000000001</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214.62</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72.86</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125.875</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393.67</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517.97</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51.22</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247.96</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78.90000000000001</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57.64</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336.03</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24.87</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171.32</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517.97</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635.1900000000001</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326.54</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187.98</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226.7</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38.275</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764.9299999999999</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247.96</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526.3</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-42</v>
      </c>
      <c r="J79" s="5" t="n">
        <v>67.04000000000001</v>
      </c>
      <c r="K79" s="5" t="n"/>
      <c r="L79" s="5" t="n">
        <v>65.29000000000001</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267</v>
      </c>
      <c r="J80" s="5" t="n">
        <v>33.45947565543072</v>
      </c>
      <c r="K80" s="5" t="n"/>
      <c r="L80" s="5" t="n">
        <v>32.96</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393.67</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344.475</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28.54</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51.415</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118.29</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-13</v>
      </c>
      <c r="J86" s="5" t="n">
        <v>230.03</v>
      </c>
      <c r="K86" s="5" t="n"/>
      <c r="L86" s="5" t="n">
        <v>235.73</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174.39</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-198</v>
      </c>
      <c r="J88" s="5" t="n">
        <v>35.28</v>
      </c>
      <c r="K88" s="5" t="n"/>
      <c r="L88" s="5" t="n">
        <v>35</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121.69</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183.07</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sheetData>
  <autoFilter ref="A1:O14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118767.9000042207</v>
      </c>
      <c r="D17" s="7">
        <f>IF(C16&gt;0,(B17-B16)/C16,"")</f>
        <v/>
      </c>
      <c r="E17" s="3">
        <f>B17-$B$2</f>
        <v/>
      </c>
      <c r="F17" s="7">
        <f>IF(C17&gt;0,E17/C17,"")</f>
        <v/>
      </c>
    </row>
    <row r="18">
      <c r="A18" s="2" t="inlineStr">
        <is>
          <t>2026-10-23</t>
        </is>
      </c>
      <c r="B18" s="12" t="n">
        <v>97134.66</v>
      </c>
      <c r="C18" s="12" t="n">
        <v>111692.3600022207</v>
      </c>
      <c r="D18" s="7">
        <f>IF(C17&gt;0,(B18-B17)/C17,"")</f>
        <v/>
      </c>
      <c r="E18" s="3">
        <f>B18-$B$2</f>
        <v/>
      </c>
      <c r="F18" s="7">
        <f>IF(C18&gt;0,E18/C18,"")</f>
        <v/>
      </c>
    </row>
  </sheetData>
  <autoFilter ref="A1:F1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sheetData>
  <autoFilter ref="A1:F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2026-10-26T14:15:45Z</dcterms:created>
  <dcterms:modified xmlns:dcterms="http://purl.org/dc/terms/" xmlns:xsi="http://www.w3.org/2001/XMLSchema-instance" xsi:type="dcterms:W3CDTF">2026-10-26T14:15:52Z</dcterms:modified>
</cp:coreProperties>
</file>