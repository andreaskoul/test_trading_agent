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trades'!$A$1:$H$72</definedName>
    <definedName name="_xlnm._FilterDatabase" localSheetId="3" hidden="1">'Positions'!$A$1:$Q$103</definedName>
    <definedName name="_xlnm._FilterDatabase" localSheetId="4" hidden="1">'Orders'!$A$1:$O$176</definedName>
    <definedName name="_xlnm._FilterDatabase" localSheetId="5" hidden="1">'Account'!$A$1:$F$24</definedName>
    <definedName name="_xlnm._FilterDatabase" localSheetId="6" hidden="1">'Cash activity'!$A$1:$F$36</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2026-10-31 10:15 ET)</t>
        </is>
      </c>
      <c r="B2" s="3" t="n">
        <v>98075.35000000001</v>
      </c>
    </row>
    <row r="3">
      <c r="A3" s="2" t="inlineStr">
        <is>
          <t>Net deposits</t>
        </is>
      </c>
      <c r="B3" s="3" t="n">
        <v>100000</v>
      </c>
    </row>
    <row r="4">
      <c r="A4" s="2" t="inlineStr">
        <is>
          <t>Account P&amp;L</t>
        </is>
      </c>
      <c r="B4" s="3">
        <f>B2-B3</f>
        <v/>
      </c>
    </row>
    <row r="5">
      <c r="A5" s="2" t="inlineStr">
        <is>
          <t>Realized P&amp;L (closed shares, FIFO)</t>
        </is>
      </c>
      <c r="B5" s="3" t="n">
        <v>-2068.779999999992</v>
      </c>
    </row>
    <row r="6">
      <c r="A6" s="2" t="inlineStr">
        <is>
          <t>Unrealized P&amp;L (open shares at Alpaca marks)</t>
        </is>
      </c>
      <c r="B6" s="3" t="n">
        <v>148.4899999999991</v>
      </c>
    </row>
    <row r="7">
      <c r="A7" s="2" t="inlineStr">
        <is>
          <t>Dividends, fees &amp; interest</t>
        </is>
      </c>
      <c r="B7" s="3" t="n">
        <v>-4.359999999999998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344.63</v>
      </c>
      <c r="H2" s="6">
        <f>D2*G2</f>
        <v/>
      </c>
      <c r="I2" s="3">
        <f>D2*(G2-F2)</f>
        <v/>
      </c>
      <c r="J2" s="7">
        <f>IF(D2&gt;0,1,-1)*(G2/F2-1)</f>
        <v/>
      </c>
    </row>
    <row r="3">
      <c r="A3" s="2" t="inlineStr">
        <is>
          <t>AVGO</t>
        </is>
      </c>
      <c r="B3" s="2" t="inlineStr">
        <is>
          <t>AVGO</t>
        </is>
      </c>
      <c r="C3" s="2" t="inlineStr">
        <is>
          <t>Long</t>
        </is>
      </c>
      <c r="D3" s="4" t="n">
        <v>8</v>
      </c>
      <c r="E3" s="2" t="inlineStr">
        <is>
          <t>2026-10-29</t>
        </is>
      </c>
      <c r="F3" s="5" t="n">
        <v>344.98</v>
      </c>
      <c r="G3" s="5" t="n">
        <v>326.08</v>
      </c>
      <c r="H3" s="6">
        <f>D3*G3</f>
        <v/>
      </c>
      <c r="I3" s="3">
        <f>D3*(G3-F3)</f>
        <v/>
      </c>
      <c r="J3" s="7">
        <f>IF(D3&gt;0,1,-1)*(G3/F3-1)</f>
        <v/>
      </c>
    </row>
    <row r="4">
      <c r="A4" s="2" t="inlineStr">
        <is>
          <t>BA</t>
        </is>
      </c>
      <c r="B4" s="2" t="inlineStr">
        <is>
          <t>BA</t>
        </is>
      </c>
      <c r="C4" s="2" t="inlineStr">
        <is>
          <t>Short</t>
        </is>
      </c>
      <c r="D4" s="4" t="n">
        <v>-16</v>
      </c>
      <c r="E4" s="2" t="inlineStr">
        <is>
          <t>2026-10-29</t>
        </is>
      </c>
      <c r="F4" s="5" t="n">
        <v>172.82</v>
      </c>
      <c r="G4" s="5" t="n">
        <v>171.55</v>
      </c>
      <c r="H4" s="6">
        <f>D4*G4</f>
        <v/>
      </c>
      <c r="I4" s="3">
        <f>D4*(G4-F4)</f>
        <v/>
      </c>
      <c r="J4" s="7">
        <f>IF(D4&gt;0,1,-1)*(G4/F4-1)</f>
        <v/>
      </c>
    </row>
    <row r="5">
      <c r="A5" s="2" t="inlineStr">
        <is>
          <t>BIIB</t>
        </is>
      </c>
      <c r="B5" s="2" t="inlineStr">
        <is>
          <t>BIIB</t>
        </is>
      </c>
      <c r="C5" s="2" t="inlineStr">
        <is>
          <t>Long</t>
        </is>
      </c>
      <c r="D5" s="4" t="n">
        <v>21</v>
      </c>
      <c r="E5" s="2" t="inlineStr">
        <is>
          <t>2026-10-29</t>
        </is>
      </c>
      <c r="F5" s="5" t="n">
        <v>249.94</v>
      </c>
      <c r="G5" s="5" t="n">
        <v>253.62</v>
      </c>
      <c r="H5" s="6">
        <f>D5*G5</f>
        <v/>
      </c>
      <c r="I5" s="3">
        <f>D5*(G5-F5)</f>
        <v/>
      </c>
      <c r="J5" s="7">
        <f>IF(D5&gt;0,1,-1)*(G5/F5-1)</f>
        <v/>
      </c>
    </row>
    <row r="6">
      <c r="A6" s="2" t="inlineStr">
        <is>
          <t>BRO</t>
        </is>
      </c>
      <c r="B6" s="2" t="inlineStr">
        <is>
          <t>BRO</t>
        </is>
      </c>
      <c r="C6" s="2" t="inlineStr">
        <is>
          <t>Short</t>
        </is>
      </c>
      <c r="D6" s="4" t="n">
        <v>-43</v>
      </c>
      <c r="E6" s="2" t="inlineStr">
        <is>
          <t>2026-10-29</t>
        </is>
      </c>
      <c r="F6" s="5" t="n">
        <v>67.88</v>
      </c>
      <c r="G6" s="5" t="n">
        <v>69.76000000000001</v>
      </c>
      <c r="H6" s="6">
        <f>D6*G6</f>
        <v/>
      </c>
      <c r="I6" s="3">
        <f>D6*(G6-F6)</f>
        <v/>
      </c>
      <c r="J6" s="7">
        <f>IF(D6&gt;0,1,-1)*(G6/F6-1)</f>
        <v/>
      </c>
    </row>
    <row r="7">
      <c r="A7" s="2" t="inlineStr">
        <is>
          <t>BSX</t>
        </is>
      </c>
      <c r="B7" s="2" t="inlineStr">
        <is>
          <t>BSX</t>
        </is>
      </c>
      <c r="C7" s="2" t="inlineStr">
        <is>
          <t>Short</t>
        </is>
      </c>
      <c r="D7" s="4" t="n">
        <v>-211</v>
      </c>
      <c r="E7" s="2" t="inlineStr">
        <is>
          <t>2026-10-29</t>
        </is>
      </c>
      <c r="F7" s="5" t="n">
        <v>42.42360189573459</v>
      </c>
      <c r="G7" s="5" t="n">
        <v>41.98</v>
      </c>
      <c r="H7" s="6">
        <f>D7*G7</f>
        <v/>
      </c>
      <c r="I7" s="3">
        <f>D7*(G7-F7)</f>
        <v/>
      </c>
      <c r="J7" s="7">
        <f>IF(D7&gt;0,1,-1)*(G7/F7-1)</f>
        <v/>
      </c>
    </row>
    <row r="8">
      <c r="A8" s="2" t="inlineStr">
        <is>
          <t>CDNS</t>
        </is>
      </c>
      <c r="B8" s="2" t="inlineStr">
        <is>
          <t>CDNS</t>
        </is>
      </c>
      <c r="C8" s="2" t="inlineStr">
        <is>
          <t>Long</t>
        </is>
      </c>
      <c r="D8" s="4" t="n">
        <v>8</v>
      </c>
      <c r="E8" s="2" t="inlineStr">
        <is>
          <t>2026-10-29</t>
        </is>
      </c>
      <c r="F8" s="5" t="n">
        <v>342.3000000000001</v>
      </c>
      <c r="G8" s="5" t="n">
        <v>327.89</v>
      </c>
      <c r="H8" s="6">
        <f>D8*G8</f>
        <v/>
      </c>
      <c r="I8" s="3">
        <f>D8*(G8-F8)</f>
        <v/>
      </c>
      <c r="J8" s="7">
        <f>IF(D8&gt;0,1,-1)*(G8/F8-1)</f>
        <v/>
      </c>
    </row>
    <row r="9">
      <c r="A9" s="2" t="inlineStr">
        <is>
          <t>CRL</t>
        </is>
      </c>
      <c r="B9" s="2" t="inlineStr">
        <is>
          <t>CRL</t>
        </is>
      </c>
      <c r="C9" s="2" t="inlineStr">
        <is>
          <t>Short</t>
        </is>
      </c>
      <c r="D9" s="4" t="n">
        <v>-3</v>
      </c>
      <c r="E9" s="2" t="inlineStr">
        <is>
          <t>2026-10-29</t>
        </is>
      </c>
      <c r="F9" s="5" t="n">
        <v>375.72</v>
      </c>
      <c r="G9" s="5" t="n">
        <v>359.41</v>
      </c>
      <c r="H9" s="6">
        <f>D9*G9</f>
        <v/>
      </c>
      <c r="I9" s="3">
        <f>D9*(G9-F9)</f>
        <v/>
      </c>
      <c r="J9" s="7">
        <f>IF(D9&gt;0,1,-1)*(G9/F9-1)</f>
        <v/>
      </c>
    </row>
    <row r="10">
      <c r="A10" s="2" t="inlineStr">
        <is>
          <t>CSX</t>
        </is>
      </c>
      <c r="B10" s="2" t="inlineStr">
        <is>
          <t>CSX</t>
        </is>
      </c>
      <c r="C10" s="2" t="inlineStr">
        <is>
          <t>Long</t>
        </is>
      </c>
      <c r="D10" s="4" t="n">
        <v>88</v>
      </c>
      <c r="E10" s="2" t="inlineStr">
        <is>
          <t>2026-10-22</t>
        </is>
      </c>
      <c r="F10" s="5" t="n">
        <v>51.10147727272727</v>
      </c>
      <c r="G10" s="5" t="n">
        <v>51.99</v>
      </c>
      <c r="H10" s="6">
        <f>D10*G10</f>
        <v/>
      </c>
      <c r="I10" s="3">
        <f>D10*(G10-F10)</f>
        <v/>
      </c>
      <c r="J10" s="7">
        <f>IF(D10&gt;0,1,-1)*(G10/F10-1)</f>
        <v/>
      </c>
    </row>
    <row r="11">
      <c r="A11" s="2" t="inlineStr">
        <is>
          <t>EQIX</t>
        </is>
      </c>
      <c r="B11" s="2" t="inlineStr">
        <is>
          <t>EQIX</t>
        </is>
      </c>
      <c r="C11" s="2" t="inlineStr">
        <is>
          <t>Long</t>
        </is>
      </c>
      <c r="D11" s="4" t="n">
        <v>6</v>
      </c>
      <c r="E11" s="2" t="inlineStr">
        <is>
          <t>2026-10-29</t>
        </is>
      </c>
      <c r="F11" s="5" t="n">
        <v>1036.32</v>
      </c>
      <c r="G11" s="5" t="n">
        <v>1013.7</v>
      </c>
      <c r="H11" s="6">
        <f>D11*G11</f>
        <v/>
      </c>
      <c r="I11" s="3">
        <f>D11*(G11-F11)</f>
        <v/>
      </c>
      <c r="J11" s="7">
        <f>IF(D11&gt;0,1,-1)*(G11/F11-1)</f>
        <v/>
      </c>
    </row>
    <row r="12">
      <c r="A12" s="2" t="inlineStr">
        <is>
          <t>GOOGL</t>
        </is>
      </c>
      <c r="B12" s="2" t="inlineStr">
        <is>
          <t>GOOGL</t>
        </is>
      </c>
      <c r="C12" s="2" t="inlineStr">
        <is>
          <t>Short</t>
        </is>
      </c>
      <c r="D12" s="4" t="n">
        <v>-21</v>
      </c>
      <c r="E12" s="2" t="inlineStr">
        <is>
          <t>2026-10-29</t>
        </is>
      </c>
      <c r="F12" s="5" t="n">
        <v>283.4557142857143</v>
      </c>
      <c r="G12" s="5" t="n">
        <v>279.84</v>
      </c>
      <c r="H12" s="6">
        <f>D12*G12</f>
        <v/>
      </c>
      <c r="I12" s="3">
        <f>D12*(G12-F12)</f>
        <v/>
      </c>
      <c r="J12" s="7">
        <f>IF(D12&gt;0,1,-1)*(G12/F12-1)</f>
        <v/>
      </c>
    </row>
    <row r="13">
      <c r="A13" s="2" t="inlineStr">
        <is>
          <t>HAS</t>
        </is>
      </c>
      <c r="B13" s="2" t="inlineStr">
        <is>
          <t>HAS</t>
        </is>
      </c>
      <c r="C13" s="2" t="inlineStr">
        <is>
          <t>Long</t>
        </is>
      </c>
      <c r="D13" s="4" t="n">
        <v>21</v>
      </c>
      <c r="E13" s="2" t="inlineStr">
        <is>
          <t>2026-10-22</t>
        </is>
      </c>
      <c r="F13" s="5" t="n">
        <v>117.22</v>
      </c>
      <c r="G13" s="5" t="n">
        <v>119.09</v>
      </c>
      <c r="H13" s="6">
        <f>D13*G13</f>
        <v/>
      </c>
      <c r="I13" s="3">
        <f>D13*(G13-F13)</f>
        <v/>
      </c>
      <c r="J13" s="7">
        <f>IF(D13&gt;0,1,-1)*(G13/F13-1)</f>
        <v/>
      </c>
    </row>
    <row r="14">
      <c r="A14" s="2" t="inlineStr">
        <is>
          <t>LH</t>
        </is>
      </c>
      <c r="B14" s="2" t="inlineStr">
        <is>
          <t>LH</t>
        </is>
      </c>
      <c r="C14" s="2" t="inlineStr">
        <is>
          <t>Long</t>
        </is>
      </c>
      <c r="D14" s="4" t="n">
        <v>6</v>
      </c>
      <c r="E14" s="2" t="inlineStr">
        <is>
          <t>2026-10-29</t>
        </is>
      </c>
      <c r="F14" s="5" t="n">
        <v>367.3500000000001</v>
      </c>
      <c r="G14" s="5" t="n">
        <v>361.39</v>
      </c>
      <c r="H14" s="6">
        <f>D14*G14</f>
        <v/>
      </c>
      <c r="I14" s="3">
        <f>D14*(G14-F14)</f>
        <v/>
      </c>
      <c r="J14" s="7">
        <f>IF(D14&gt;0,1,-1)*(G14/F14-1)</f>
        <v/>
      </c>
    </row>
    <row r="15">
      <c r="A15" s="2" t="inlineStr">
        <is>
          <t>MRNA</t>
        </is>
      </c>
      <c r="B15" s="2" t="inlineStr">
        <is>
          <t>MRNA</t>
        </is>
      </c>
      <c r="C15" s="2" t="inlineStr">
        <is>
          <t>Short</t>
        </is>
      </c>
      <c r="D15" s="4" t="n">
        <v>-12</v>
      </c>
      <c r="E15" s="2" t="inlineStr">
        <is>
          <t>2026-10-29</t>
        </is>
      </c>
      <c r="F15" s="5" t="n">
        <v>222.6091666666667</v>
      </c>
      <c r="G15" s="5" t="n">
        <v>221.72</v>
      </c>
      <c r="H15" s="6">
        <f>D15*G15</f>
        <v/>
      </c>
      <c r="I15" s="3">
        <f>D15*(G15-F15)</f>
        <v/>
      </c>
      <c r="J15" s="7">
        <f>IF(D15&gt;0,1,-1)*(G15/F15-1)</f>
        <v/>
      </c>
    </row>
    <row r="16">
      <c r="A16" s="2" t="inlineStr">
        <is>
          <t>MSFT</t>
        </is>
      </c>
      <c r="B16" s="2" t="inlineStr">
        <is>
          <t>MSFT</t>
        </is>
      </c>
      <c r="C16" s="2" t="inlineStr">
        <is>
          <t>Long</t>
        </is>
      </c>
      <c r="D16" s="4" t="n">
        <v>10</v>
      </c>
      <c r="E16" s="2" t="inlineStr">
        <is>
          <t>2026-10-29</t>
        </is>
      </c>
      <c r="F16" s="5" t="n">
        <v>530.2380000000001</v>
      </c>
      <c r="G16" s="5" t="n">
        <v>521.91</v>
      </c>
      <c r="H16" s="6">
        <f>D16*G16</f>
        <v/>
      </c>
      <c r="I16" s="3">
        <f>D16*(G16-F16)</f>
        <v/>
      </c>
      <c r="J16" s="7">
        <f>IF(D16&gt;0,1,-1)*(G16/F16-1)</f>
        <v/>
      </c>
    </row>
    <row r="17">
      <c r="A17" s="2" t="inlineStr">
        <is>
          <t>NFLX</t>
        </is>
      </c>
      <c r="B17" s="2" t="inlineStr">
        <is>
          <t>NFLX</t>
        </is>
      </c>
      <c r="C17" s="2" t="inlineStr">
        <is>
          <t>Short</t>
        </is>
      </c>
      <c r="D17" s="4" t="n">
        <v>-67</v>
      </c>
      <c r="E17" s="2" t="inlineStr">
        <is>
          <t>2026-10-22</t>
        </is>
      </c>
      <c r="F17" s="5" t="n">
        <v>65.86089552238806</v>
      </c>
      <c r="G17" s="5" t="n">
        <v>62.08</v>
      </c>
      <c r="H17" s="6">
        <f>D17*G17</f>
        <v/>
      </c>
      <c r="I17" s="3">
        <f>D17*(G17-F17)</f>
        <v/>
      </c>
      <c r="J17" s="7">
        <f>IF(D17&gt;0,1,-1)*(G17/F17-1)</f>
        <v/>
      </c>
    </row>
    <row r="18">
      <c r="A18" s="2" t="inlineStr">
        <is>
          <t>ROL</t>
        </is>
      </c>
      <c r="B18" s="2" t="inlineStr">
        <is>
          <t>ROL</t>
        </is>
      </c>
      <c r="C18" s="2" t="inlineStr">
        <is>
          <t>Short</t>
        </is>
      </c>
      <c r="D18" s="4" t="n">
        <v>-283</v>
      </c>
      <c r="E18" s="2" t="inlineStr">
        <is>
          <t>2026-10-22</t>
        </is>
      </c>
      <c r="F18" s="5" t="n">
        <v>35.04272084805654</v>
      </c>
      <c r="G18" s="5" t="n">
        <v>34.66</v>
      </c>
      <c r="H18" s="6">
        <f>D18*G18</f>
        <v/>
      </c>
      <c r="I18" s="3">
        <f>D18*(G18-F18)</f>
        <v/>
      </c>
      <c r="J18" s="7">
        <f>IF(D18&gt;0,1,-1)*(G18/F18-1)</f>
        <v/>
      </c>
    </row>
    <row r="19">
      <c r="A19" s="2" t="inlineStr">
        <is>
          <t>SMCI</t>
        </is>
      </c>
      <c r="B19" s="2" t="inlineStr">
        <is>
          <t>SMCI</t>
        </is>
      </c>
      <c r="C19" s="2" t="inlineStr">
        <is>
          <t>Long</t>
        </is>
      </c>
      <c r="D19" s="4" t="n">
        <v>266</v>
      </c>
      <c r="E19" s="2" t="inlineStr">
        <is>
          <t>2026-10-22</t>
        </is>
      </c>
      <c r="F19" s="5" t="n">
        <v>33.4584962406015</v>
      </c>
      <c r="G19" s="5" t="n">
        <v>32.95</v>
      </c>
      <c r="H19" s="6">
        <f>D19*G19</f>
        <v/>
      </c>
      <c r="I19" s="3">
        <f>D19*(G19-F19)</f>
        <v/>
      </c>
      <c r="J19" s="7">
        <f>IF(D19&gt;0,1,-1)*(G19/F19-1)</f>
        <v/>
      </c>
    </row>
    <row r="20">
      <c r="A20" s="2" t="inlineStr">
        <is>
          <t>SPY</t>
        </is>
      </c>
      <c r="B20" s="2" t="inlineStr">
        <is>
          <t>SPDR S&amp;P 500 ETF</t>
        </is>
      </c>
      <c r="C20" s="2" t="inlineStr">
        <is>
          <t>Short</t>
        </is>
      </c>
      <c r="D20" s="4" t="n">
        <v>-22</v>
      </c>
      <c r="E20" s="2" t="inlineStr">
        <is>
          <t>2026-10-23</t>
        </is>
      </c>
      <c r="F20" s="5" t="n">
        <v>763.0690909090907</v>
      </c>
      <c r="G20" s="5" t="n">
        <v>755.72</v>
      </c>
      <c r="H20" s="6">
        <f>D20*G20</f>
        <v/>
      </c>
      <c r="I20" s="3">
        <f>D20*(G20-F20)</f>
        <v/>
      </c>
      <c r="J20" s="7">
        <f>IF(D20&gt;0,1,-1)*(G20/F20-1)</f>
        <v/>
      </c>
    </row>
    <row r="21">
      <c r="A21" s="2" t="inlineStr">
        <is>
          <t>VLO</t>
        </is>
      </c>
      <c r="B21" s="2" t="inlineStr">
        <is>
          <t>VLO</t>
        </is>
      </c>
      <c r="C21" s="2" t="inlineStr">
        <is>
          <t>Short</t>
        </is>
      </c>
      <c r="D21" s="4" t="n">
        <v>-7</v>
      </c>
      <c r="E21" s="2" t="inlineStr">
        <is>
          <t>2026-10-29</t>
        </is>
      </c>
      <c r="F21" s="5" t="n">
        <v>384.4342857142857</v>
      </c>
      <c r="G21" s="5" t="n">
        <v>399.66</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row r="66">
      <c r="A66" s="2" t="inlineStr">
        <is>
          <t>2026-10-29</t>
        </is>
      </c>
      <c r="B66" s="2" t="inlineStr">
        <is>
          <t>MSFT</t>
        </is>
      </c>
      <c r="C66" s="2" t="inlineStr">
        <is>
          <t>MSFT</t>
        </is>
      </c>
      <c r="D66" s="2" t="inlineStr">
        <is>
          <t>Short</t>
        </is>
      </c>
      <c r="E66" s="4" t="n">
        <v>-5</v>
      </c>
      <c r="F66" s="5" t="n">
        <v>520.91</v>
      </c>
      <c r="G66" s="5" t="n">
        <v>530.4259999999999</v>
      </c>
      <c r="H66" s="3">
        <f>E66*(G66-F66)</f>
        <v/>
      </c>
    </row>
    <row r="67">
      <c r="A67" s="2" t="inlineStr">
        <is>
          <t>2026-10-29</t>
        </is>
      </c>
      <c r="B67" s="2" t="inlineStr">
        <is>
          <t>CMG</t>
        </is>
      </c>
      <c r="C67" s="2" t="inlineStr">
        <is>
          <t>CMG</t>
        </is>
      </c>
      <c r="D67" s="2" t="inlineStr">
        <is>
          <t>Short</t>
        </is>
      </c>
      <c r="E67" s="4" t="n">
        <v>-86</v>
      </c>
      <c r="F67" s="5" t="n">
        <v>28.07</v>
      </c>
      <c r="G67" s="5" t="n">
        <v>31.34</v>
      </c>
      <c r="H67" s="3">
        <f>E67*(G67-F67)</f>
        <v/>
      </c>
    </row>
    <row r="68">
      <c r="A68" s="2" t="inlineStr">
        <is>
          <t>2026-10-29</t>
        </is>
      </c>
      <c r="B68" s="2" t="inlineStr">
        <is>
          <t>LRCX</t>
        </is>
      </c>
      <c r="C68" s="2" t="inlineStr">
        <is>
          <t>LRCX</t>
        </is>
      </c>
      <c r="D68" s="2" t="inlineStr">
        <is>
          <t>Short</t>
        </is>
      </c>
      <c r="E68" s="4" t="n">
        <v>-7</v>
      </c>
      <c r="F68" s="5" t="n">
        <v>230.03</v>
      </c>
      <c r="G68" s="5" t="n">
        <v>254.17</v>
      </c>
      <c r="H68" s="3">
        <f>E68*(G68-F68)</f>
        <v/>
      </c>
    </row>
    <row r="69">
      <c r="A69" s="2" t="inlineStr">
        <is>
          <t>2026-10-30</t>
        </is>
      </c>
      <c r="B69" s="2" t="inlineStr">
        <is>
          <t>CRL</t>
        </is>
      </c>
      <c r="C69" s="2" t="inlineStr">
        <is>
          <t>CRL</t>
        </is>
      </c>
      <c r="D69" s="2" t="inlineStr">
        <is>
          <t>Short</t>
        </is>
      </c>
      <c r="E69" s="4" t="n">
        <v>-4</v>
      </c>
      <c r="F69" s="5" t="n">
        <v>375.77</v>
      </c>
      <c r="G69" s="5" t="n">
        <v>359.92</v>
      </c>
      <c r="H69" s="3">
        <f>E69*(G69-F69)</f>
        <v/>
      </c>
    </row>
    <row r="70">
      <c r="A70" s="2" t="inlineStr">
        <is>
          <t>2026-10-30</t>
        </is>
      </c>
      <c r="B70" s="2" t="inlineStr">
        <is>
          <t>CSX</t>
        </is>
      </c>
      <c r="C70" s="2" t="inlineStr">
        <is>
          <t>CSX</t>
        </is>
      </c>
      <c r="D70" s="2" t="inlineStr">
        <is>
          <t>Long</t>
        </is>
      </c>
      <c r="E70" s="4" t="n">
        <v>87</v>
      </c>
      <c r="F70" s="5" t="n">
        <v>51.72000000000001</v>
      </c>
      <c r="G70" s="5" t="n">
        <v>52.02999999999999</v>
      </c>
      <c r="H70" s="3">
        <f>E70*(G70-F70)</f>
        <v/>
      </c>
    </row>
    <row r="71">
      <c r="A71" s="2" t="inlineStr">
        <is>
          <t>2026-10-30</t>
        </is>
      </c>
      <c r="B71" s="2" t="inlineStr">
        <is>
          <t>TSLA</t>
        </is>
      </c>
      <c r="C71" s="2" t="inlineStr">
        <is>
          <t>TSLA</t>
        </is>
      </c>
      <c r="D71" s="2" t="inlineStr">
        <is>
          <t>Long</t>
        </is>
      </c>
      <c r="E71" s="4" t="n">
        <v>20</v>
      </c>
      <c r="F71" s="5" t="n">
        <v>374.146</v>
      </c>
      <c r="G71" s="5" t="n">
        <v>399.871</v>
      </c>
      <c r="H71" s="3">
        <f>E71*(G71-F71)</f>
        <v/>
      </c>
    </row>
    <row r="72">
      <c r="A72" s="2" t="inlineStr">
        <is>
          <t>2026-10-30</t>
        </is>
      </c>
      <c r="B72" s="2" t="inlineStr">
        <is>
          <t>SPY</t>
        </is>
      </c>
      <c r="C72" s="2" t="inlineStr">
        <is>
          <t>SPDR S&amp;P 500 ETF</t>
        </is>
      </c>
      <c r="D72" s="2" t="inlineStr">
        <is>
          <t>Short</t>
        </is>
      </c>
      <c r="E72" s="4" t="n">
        <v>-22</v>
      </c>
      <c r="F72" s="5" t="n">
        <v>768.7913636363636</v>
      </c>
      <c r="G72" s="5" t="n">
        <v>755.3745454545453</v>
      </c>
      <c r="H72" s="3">
        <f>E72*(G72-F72)</f>
        <v/>
      </c>
    </row>
  </sheetData>
  <autoFilter ref="A1:H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755.719970703125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857.8699951171875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884.739990234375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884.739990234375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62.08000183105469</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542.489990234375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107.2399978637695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135.3300018310547</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755.719970703125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755.719970703125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755.719970703125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755.719970703125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504.7999877929688</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504.7999877929688</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326.0799865722656</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326.0799865722656</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326.0799865722656</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171.5500030517578</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262.3800048828125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279.8399963378906</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55.09000015258789</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840.7000122070312</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1417.5400390625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196.3999938964844</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204.6399993896484</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204.6399993896484</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542.489990234375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107.2399978637695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258.1199951171875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614.989990234375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38.66999816894531</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137.3399963378906</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137.3399963378906</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1150.890014648438</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1150.890014648438</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644.5800170898438</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366.1099853515625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326.0799865722656</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171.5500030517578</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542.489990234375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262.3800048828125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279.8399963378906</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840.7000122070312</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1417.5400390625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107.2399978637695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258.1199951171875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614.989990234375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137.3399963378906</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1150.890014648438</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755.719970703125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644.5800170898438</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366.1099853515625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32.95000076293945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312.9599914550781</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521.9099731445312</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62.08000183105469</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204.6399993896484</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71.66999816894531</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130.6699981689453</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399.8099975585938</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504.7999877929688</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50.0099983215332</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229.1699981689453</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80.15000152587891</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55.09000015258789</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337.0400085449219</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24.34000015258789</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169.7700042724609</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504.7999877929688</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614.989990234375</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326.0799865722656</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171.5500030517578</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229.1699981689453</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174.3399963378906</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196.3999938964844</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38.66999816894531</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123.5100021362305</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187.25</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2026-10-21</t>
        </is>
      </c>
      <c r="B80" s="2" t="inlineStr">
        <is>
          <t>CMG</t>
        </is>
      </c>
      <c r="C80" s="2" t="inlineStr">
        <is>
          <t>CMG</t>
        </is>
      </c>
      <c r="D80" s="2" t="inlineStr">
        <is>
          <t>position (lifecycle)</t>
        </is>
      </c>
      <c r="E80" s="2" t="inlineStr">
        <is>
          <t>Short</t>
        </is>
      </c>
      <c r="F80" s="2" t="inlineStr">
        <is>
          <t>Closed</t>
        </is>
      </c>
      <c r="G80" s="2" t="inlineStr">
        <is>
          <t>2026-10-22</t>
        </is>
      </c>
      <c r="H80" s="2" t="inlineStr">
        <is>
          <t>2026-10-29</t>
        </is>
      </c>
      <c r="I80" s="4" t="n">
        <v>-86</v>
      </c>
      <c r="J80" s="5" t="n">
        <v>28.07</v>
      </c>
      <c r="K80" s="5" t="n">
        <v>31.34</v>
      </c>
      <c r="L80" s="5" t="n">
        <v>31.88999938964844</v>
      </c>
      <c r="M80" s="7">
        <f>IFERROR(IF(E80="Short",-1,1)*(IF(K80&lt;&gt;"",K80,L80)/J80-1),"")</f>
        <v/>
      </c>
      <c r="N80" s="6">
        <f>IFERROR(I80*(IF(K80&lt;&gt;"",K80,L80)-J80),"")</f>
        <v/>
      </c>
      <c r="O80" s="8" t="n">
        <v>0.5</v>
      </c>
      <c r="P80" s="2" t="n"/>
      <c r="Q80"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1">
      <c r="A81" s="2" t="inlineStr">
        <is>
          <t>2026-10-21</t>
        </is>
      </c>
      <c r="B81" s="2" t="inlineStr">
        <is>
          <t>LRCX</t>
        </is>
      </c>
      <c r="C81" s="2" t="inlineStr">
        <is>
          <t>LRCX</t>
        </is>
      </c>
      <c r="D81" s="2" t="inlineStr">
        <is>
          <t>position (lifecycle)</t>
        </is>
      </c>
      <c r="E81" s="2" t="inlineStr">
        <is>
          <t>Short</t>
        </is>
      </c>
      <c r="F81" s="2" t="inlineStr">
        <is>
          <t>Closed</t>
        </is>
      </c>
      <c r="G81" s="2" t="inlineStr">
        <is>
          <t>2026-10-22</t>
        </is>
      </c>
      <c r="H81" s="2" t="inlineStr">
        <is>
          <t>2026-10-29</t>
        </is>
      </c>
      <c r="I81" s="4" t="n">
        <v>-7</v>
      </c>
      <c r="J81" s="5" t="n">
        <v>230.03</v>
      </c>
      <c r="K81" s="5" t="n">
        <v>254.17</v>
      </c>
      <c r="L81" s="5" t="n">
        <v>239.1100006103516</v>
      </c>
      <c r="M81" s="7">
        <f>IFERROR(IF(E81="Short",-1,1)*(IF(K81&lt;&gt;"",K81,L81)/J81-1),"")</f>
        <v/>
      </c>
      <c r="N81" s="6">
        <f>IFERROR(I81*(IF(K81&lt;&gt;"",K81,L81)-J81),"")</f>
        <v/>
      </c>
      <c r="O81" s="8" t="n">
        <v>0.62</v>
      </c>
      <c r="P81" s="2" t="n"/>
      <c r="Q81"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2">
      <c r="A82" s="2" t="inlineStr">
        <is>
          <t>2026-10-28</t>
        </is>
      </c>
      <c r="B82" s="2" t="inlineStr">
        <is>
          <t>MSFT</t>
        </is>
      </c>
      <c r="C82" s="2" t="inlineStr">
        <is>
          <t>MSFT</t>
        </is>
      </c>
      <c r="D82" s="2" t="inlineStr">
        <is>
          <t>position (lifecycle)</t>
        </is>
      </c>
      <c r="E82" s="2" t="inlineStr">
        <is>
          <t>Short</t>
        </is>
      </c>
      <c r="F82" s="2" t="inlineStr">
        <is>
          <t>Closed</t>
        </is>
      </c>
      <c r="G82" s="2" t="inlineStr">
        <is>
          <t>2026-10-22</t>
        </is>
      </c>
      <c r="H82" s="2" t="inlineStr">
        <is>
          <t>2026-10-29</t>
        </is>
      </c>
      <c r="I82" s="4" t="n">
        <v>-5</v>
      </c>
      <c r="J82" s="5" t="n">
        <v>520.91</v>
      </c>
      <c r="K82" s="5" t="n">
        <v>530.426</v>
      </c>
      <c r="L82" s="5" t="n">
        <v>521.9099731445312</v>
      </c>
      <c r="M82" s="7">
        <f>IFERROR(IF(E82="Short",-1,1)*(IF(K82&lt;&gt;"",K82,L82)/J82-1),"")</f>
        <v/>
      </c>
      <c r="N82" s="6">
        <f>IFERROR(I82*(IF(K82&lt;&gt;"",K82,L82)-J82),"")</f>
        <v/>
      </c>
      <c r="O82" s="8" t="n">
        <v>0.62</v>
      </c>
      <c r="P82" s="2" t="n"/>
      <c r="Q82"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3">
      <c r="A83" s="2" t="inlineStr">
        <is>
          <t>2026-10-21</t>
        </is>
      </c>
      <c r="B83" s="2" t="inlineStr">
        <is>
          <t>TSLA</t>
        </is>
      </c>
      <c r="C83" s="2" t="inlineStr">
        <is>
          <t>TSLA</t>
        </is>
      </c>
      <c r="D83" s="2" t="inlineStr">
        <is>
          <t>position (lifecycle)</t>
        </is>
      </c>
      <c r="E83" s="2" t="inlineStr">
        <is>
          <t>Long</t>
        </is>
      </c>
      <c r="F83" s="2" t="inlineStr">
        <is>
          <t>Closed</t>
        </is>
      </c>
      <c r="G83" s="2" t="inlineStr">
        <is>
          <t>2026-10-22</t>
        </is>
      </c>
      <c r="H83" s="2" t="inlineStr">
        <is>
          <t>2026-10-30</t>
        </is>
      </c>
      <c r="I83" s="4" t="n">
        <v>20</v>
      </c>
      <c r="J83" s="5" t="n">
        <v>374.1460002</v>
      </c>
      <c r="K83" s="5" t="n">
        <v>399.871</v>
      </c>
      <c r="L83" s="5" t="n">
        <v>399.8099975585938</v>
      </c>
      <c r="M83" s="7">
        <f>IFERROR(IF(E83="Short",-1,1)*(IF(K83&lt;&gt;"",K83,L83)/J83-1),"")</f>
        <v/>
      </c>
      <c r="N83" s="6">
        <f>IFERROR(I83*(IF(K83&lt;&gt;"",K83,L83)-J83),"")</f>
        <v/>
      </c>
      <c r="O83" s="8" t="n">
        <v>0.55</v>
      </c>
      <c r="P83" s="2" t="n"/>
      <c r="Q83"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4">
      <c r="A84" s="2" t="inlineStr">
        <is>
          <t>2026-10-28</t>
        </is>
      </c>
      <c r="B84" s="2" t="inlineStr">
        <is>
          <t>AVGO</t>
        </is>
      </c>
      <c r="C84" s="2" t="inlineStr">
        <is>
          <t>AVGO</t>
        </is>
      </c>
      <c r="D84" s="2" t="inlineStr">
        <is>
          <t>position (lifecycle)</t>
        </is>
      </c>
      <c r="E84" s="2" t="inlineStr">
        <is>
          <t>Long</t>
        </is>
      </c>
      <c r="F84" s="2" t="inlineStr">
        <is>
          <t>Open</t>
        </is>
      </c>
      <c r="G84" s="2" t="inlineStr">
        <is>
          <t>2026-10-29</t>
        </is>
      </c>
      <c r="H84" s="2" t="inlineStr"/>
      <c r="I84" s="4" t="n">
        <v>8</v>
      </c>
      <c r="J84" s="5" t="n">
        <v>344.98</v>
      </c>
      <c r="K84" s="5" t="n"/>
      <c r="L84" s="5" t="n">
        <v>326.0799865722656</v>
      </c>
      <c r="M84" s="7">
        <f>IFERROR(IF(E84="Short",-1,1)*(IF(K84&lt;&gt;"",K84,L84)/J84-1),"")</f>
        <v/>
      </c>
      <c r="N84" s="6">
        <f>IFERROR(I84*(IF(K84&lt;&gt;"",K84,L84)-J84),"")</f>
        <v/>
      </c>
      <c r="O84" s="8" t="n">
        <v>0.65</v>
      </c>
      <c r="P84" s="2" t="n"/>
      <c r="Q84" s="9" t="inlineStr">
        <is>
          <t>Broadcom secured $63B financing for Anthropic chips, de-risking AI demand and strengthening its custom chip franchise. Positive catalyst despite banks' initial hesitation; stock already up 4% this week but deal size and new story share suggest follow-through. | horizon 30 days; exit if: Broadcom's Anthropic chip financing deal is terminated or collapses; Anthropic cancels or significantly delays its custom chip orders from Broadcom; Banks withdraw from Broadcom's Anthropic chip financing deal</t>
        </is>
      </c>
    </row>
    <row r="85">
      <c r="A85" s="2" t="inlineStr">
        <is>
          <t>2026-10-28</t>
        </is>
      </c>
      <c r="B85" s="2" t="inlineStr">
        <is>
          <t>BA</t>
        </is>
      </c>
      <c r="C85" s="2" t="inlineStr">
        <is>
          <t>BA</t>
        </is>
      </c>
      <c r="D85" s="2" t="inlineStr">
        <is>
          <t>position (lifecycle)</t>
        </is>
      </c>
      <c r="E85" s="2" t="inlineStr">
        <is>
          <t>Short</t>
        </is>
      </c>
      <c r="F85" s="2" t="inlineStr">
        <is>
          <t>Open</t>
        </is>
      </c>
      <c r="G85" s="2" t="inlineStr">
        <is>
          <t>2026-10-29</t>
        </is>
      </c>
      <c r="H85" s="2" t="inlineStr"/>
      <c r="I85" s="4" t="n">
        <v>-16</v>
      </c>
      <c r="J85" s="5" t="n">
        <v>172.82</v>
      </c>
      <c r="K85" s="5" t="n"/>
      <c r="L85" s="5" t="n">
        <v>171.5500030517578</v>
      </c>
      <c r="M85" s="7">
        <f>IFERROR(IF(E85="Short",-1,1)*(IF(K85&lt;&gt;"",K85,L85)/J85-1),"")</f>
        <v/>
      </c>
      <c r="N85" s="6">
        <f>IFERROR(I85*(IF(K85&lt;&gt;"",K85,L85)-J85),"")</f>
        <v/>
      </c>
      <c r="O85" s="8" t="n">
        <v>0.55</v>
      </c>
      <c r="P85" s="2" t="n"/>
      <c r="Q85" s="9" t="inlineStr">
        <is>
          <t>Boeing's Oct 27 Q3 miss (EPS -$0.34 vs -$0.21) came with fresh negative guidance: 737 Max ramp slips to late 2027 on wing shortages, 777X certification mid-2027, and lower 2027 free cash flow. Though the stock already fell 10.7% on Oct 28, forward estimate cuts should keep BA lagging peers next week. | horizon 60 days; exit if: Boeing raises FY2027 free cash flow guidance; 737 Max production ramp accelerates ahead of schedule; FAA certifies 777X ahead of schedule</t>
        </is>
      </c>
    </row>
    <row r="86">
      <c r="A86" s="2" t="inlineStr">
        <is>
          <t>2026-10-28</t>
        </is>
      </c>
      <c r="B86" s="2" t="inlineStr">
        <is>
          <t>GOOGL</t>
        </is>
      </c>
      <c r="C86" s="2" t="inlineStr">
        <is>
          <t>GOOGL</t>
        </is>
      </c>
      <c r="D86" s="2" t="inlineStr">
        <is>
          <t>position (lifecycle)</t>
        </is>
      </c>
      <c r="E86" s="2" t="inlineStr">
        <is>
          <t>Short</t>
        </is>
      </c>
      <c r="F86" s="2" t="inlineStr">
        <is>
          <t>Open</t>
        </is>
      </c>
      <c r="G86" s="2" t="inlineStr">
        <is>
          <t>2026-10-29</t>
        </is>
      </c>
      <c r="H86" s="2" t="inlineStr"/>
      <c r="I86" s="4" t="n">
        <v>-21</v>
      </c>
      <c r="J86" s="5" t="n">
        <v>283.455714</v>
      </c>
      <c r="K86" s="5" t="n"/>
      <c r="L86" s="5" t="n">
        <v>279.8399963378906</v>
      </c>
      <c r="M86" s="7">
        <f>IFERROR(IF(E86="Short",-1,1)*(IF(K86&lt;&gt;"",K86,L86)/J86-1),"")</f>
        <v/>
      </c>
      <c r="N86" s="6">
        <f>IFERROR(I86*(IF(K86&lt;&gt;"",K86,L86)-J86),"")</f>
        <v/>
      </c>
      <c r="O86" s="8" t="n">
        <v>0.62</v>
      </c>
      <c r="P86" s="2" t="n"/>
      <c r="Q86" s="9" t="inlineStr">
        <is>
          <t>Alphabet's Q3 revenue miss (Oct 28), with slowing Search growth overshadowing a strong cloud quarter, sent shares down ~7% after hours — a move not yet in the close. That negative reaction should carry into next week, outweighing the loud buy-the-dip and oversold commentary. | horizon 24 days; exit if: Alphabet reports stronger-than-expected Q4 revenue or raises guidance; Search revenue growth reaccelerates above prior trend; Alphabet announces major buyback or capital return that lifts shares</t>
        </is>
      </c>
    </row>
    <row r="87">
      <c r="A87" s="2" t="inlineStr">
        <is>
          <t>2026-10-14</t>
        </is>
      </c>
      <c r="B87" s="2" t="inlineStr">
        <is>
          <t>SPY</t>
        </is>
      </c>
      <c r="C87" s="2" t="inlineStr">
        <is>
          <t>SPDR S&amp;P 500 ETF</t>
        </is>
      </c>
      <c r="D87" s="2" t="inlineStr">
        <is>
          <t>beta hedge</t>
        </is>
      </c>
      <c r="E87" s="2" t="inlineStr">
        <is>
          <t>Short</t>
        </is>
      </c>
      <c r="F87" s="2" t="inlineStr">
        <is>
          <t>Open</t>
        </is>
      </c>
      <c r="G87" s="2" t="inlineStr">
        <is>
          <t>2026-10-21</t>
        </is>
      </c>
      <c r="H87" s="2" t="inlineStr"/>
      <c r="I87" s="4" t="n">
        <v>-22</v>
      </c>
      <c r="J87" s="5" t="n">
        <v>765.9302270909091</v>
      </c>
      <c r="K87" s="5" t="n"/>
      <c r="L87" s="5" t="n">
        <v>755.719970703125</v>
      </c>
      <c r="M87" s="7">
        <f>IFERROR(IF(E87="Short",-1,1)*(IF(K87&lt;&gt;"",K87,L87)/J87-1),"")</f>
        <v/>
      </c>
      <c r="N87" s="6">
        <f>IFERROR(I87*(IF(K87&lt;&gt;"",K87,L87)-J87),"")</f>
        <v/>
      </c>
      <c r="O87" s="8" t="n"/>
      <c r="P87" s="2" t="n"/>
      <c r="Q87" s="9" t="inlineStr">
        <is>
          <t>SPY hedge to zero beta</t>
        </is>
      </c>
    </row>
    <row r="88">
      <c r="A88" s="2" t="inlineStr">
        <is>
          <t>2026-10-28</t>
        </is>
      </c>
      <c r="B88" s="2" t="inlineStr">
        <is>
          <t>MSFT</t>
        </is>
      </c>
      <c r="C88" s="2" t="inlineStr">
        <is>
          <t>MSFT</t>
        </is>
      </c>
      <c r="D88" s="2" t="inlineStr">
        <is>
          <t>position (lifecycle)</t>
        </is>
      </c>
      <c r="E88" s="2" t="inlineStr">
        <is>
          <t>Long</t>
        </is>
      </c>
      <c r="F88" s="2" t="inlineStr">
        <is>
          <t>Open</t>
        </is>
      </c>
      <c r="G88" s="2" t="inlineStr">
        <is>
          <t>2026-10-29</t>
        </is>
      </c>
      <c r="H88" s="2" t="inlineStr"/>
      <c r="I88" s="4" t="n">
        <v>10</v>
      </c>
      <c r="J88" s="5" t="n">
        <v>530.2380000000001</v>
      </c>
      <c r="K88" s="5" t="n"/>
      <c r="L88" s="5" t="n">
        <v>521.9099731445312</v>
      </c>
      <c r="M88" s="7">
        <f>IFERROR(IF(E88="Short",-1,1)*(IF(K88&lt;&gt;"",K88,L88)/J88-1),"")</f>
        <v/>
      </c>
      <c r="N88" s="6">
        <f>IFERROR(I88*(IF(K88&lt;&gt;"",K88,L88)-J88),"")</f>
        <v/>
      </c>
      <c r="O88" s="8" t="n">
        <v>0.62</v>
      </c>
      <c r="P88" s="2" t="n"/>
      <c r="Q88"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9">
      <c r="A89" s="2" t="inlineStr">
        <is>
          <t>2026-10-21</t>
        </is>
      </c>
      <c r="B89" s="2" t="inlineStr">
        <is>
          <t>NFLX</t>
        </is>
      </c>
      <c r="C89" s="2" t="inlineStr">
        <is>
          <t>NFLX</t>
        </is>
      </c>
      <c r="D89" s="2" t="inlineStr">
        <is>
          <t>position (lifecycle)</t>
        </is>
      </c>
      <c r="E89" s="2" t="inlineStr">
        <is>
          <t>Short</t>
        </is>
      </c>
      <c r="F89" s="2" t="inlineStr">
        <is>
          <t>Open</t>
        </is>
      </c>
      <c r="G89" s="2" t="inlineStr">
        <is>
          <t>2026-10-22</t>
        </is>
      </c>
      <c r="H89" s="2" t="inlineStr"/>
      <c r="I89" s="4" t="n">
        <v>-67</v>
      </c>
      <c r="J89" s="5" t="n">
        <v>65.86089552238806</v>
      </c>
      <c r="K89" s="5" t="n"/>
      <c r="L89" s="5" t="n">
        <v>62.08000183105469</v>
      </c>
      <c r="M89" s="7">
        <f>IFERROR(IF(E89="Short",-1,1)*(IF(K89&lt;&gt;"",K89,L89)/J89-1),"")</f>
        <v/>
      </c>
      <c r="N89" s="6">
        <f>IFERROR(I89*(IF(K89&lt;&gt;"",K89,L89)-J89),"")</f>
        <v/>
      </c>
      <c r="O89" s="8" t="n">
        <v>0.58</v>
      </c>
      <c r="P89" s="2" t="n"/>
      <c r="Q8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90">
      <c r="A90" s="2" t="inlineStr">
        <is>
          <t>2026-10-21</t>
        </is>
      </c>
      <c r="B90" s="2" t="inlineStr">
        <is>
          <t>SMCI</t>
        </is>
      </c>
      <c r="C90" s="2" t="inlineStr">
        <is>
          <t>SMCI</t>
        </is>
      </c>
      <c r="D90" s="2" t="inlineStr">
        <is>
          <t>position (lifecycle)</t>
        </is>
      </c>
      <c r="E90" s="2" t="inlineStr">
        <is>
          <t>Long</t>
        </is>
      </c>
      <c r="F90" s="2" t="inlineStr">
        <is>
          <t>Open</t>
        </is>
      </c>
      <c r="G90" s="2" t="inlineStr">
        <is>
          <t>2026-10-22</t>
        </is>
      </c>
      <c r="H90" s="2" t="inlineStr"/>
      <c r="I90" s="4" t="n">
        <v>266</v>
      </c>
      <c r="J90" s="5" t="n">
        <v>33.45947565543072</v>
      </c>
      <c r="K90" s="5" t="n"/>
      <c r="L90" s="5" t="n">
        <v>32.95000076293945</v>
      </c>
      <c r="M90" s="7">
        <f>IFERROR(IF(E90="Short",-1,1)*(IF(K90&lt;&gt;"",K90,L90)/J90-1),"")</f>
        <v/>
      </c>
      <c r="N90" s="6">
        <f>IFERROR(I90*(IF(K90&lt;&gt;"",K90,L90)-J90),"")</f>
        <v/>
      </c>
      <c r="O90" s="8" t="n">
        <v>0.65</v>
      </c>
      <c r="P90" s="2" t="n"/>
      <c r="Q9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91">
      <c r="A91" s="2" t="inlineStr">
        <is>
          <t>2026-10-21</t>
        </is>
      </c>
      <c r="B91" s="2" t="inlineStr">
        <is>
          <t>AAPL</t>
        </is>
      </c>
      <c r="C91" s="2" t="inlineStr">
        <is>
          <t>AAPL</t>
        </is>
      </c>
      <c r="D91" s="2" t="inlineStr">
        <is>
          <t>position (lifecycle)</t>
        </is>
      </c>
      <c r="E91" s="2" t="inlineStr">
        <is>
          <t>Short</t>
        </is>
      </c>
      <c r="F91" s="2" t="inlineStr">
        <is>
          <t>Open</t>
        </is>
      </c>
      <c r="G91" s="2" t="inlineStr">
        <is>
          <t>2026-10-22</t>
        </is>
      </c>
      <c r="H91" s="2" t="inlineStr"/>
      <c r="I91" s="4" t="n">
        <v>-7</v>
      </c>
      <c r="J91" s="5" t="n">
        <v>348.188571</v>
      </c>
      <c r="K91" s="5" t="n"/>
      <c r="L91" s="5" t="n">
        <v>344.6300048828125</v>
      </c>
      <c r="M91" s="7">
        <f>IFERROR(IF(E91="Short",-1,1)*(IF(K91&lt;&gt;"",K91,L91)/J91-1),"")</f>
        <v/>
      </c>
      <c r="N91" s="6">
        <f>IFERROR(I91*(IF(K91&lt;&gt;"",K91,L91)-J91),"")</f>
        <v/>
      </c>
      <c r="O91" s="8" t="n">
        <v>0.5</v>
      </c>
      <c r="P91" s="2" t="n"/>
      <c r="Q91"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92">
      <c r="A92" s="2" t="inlineStr">
        <is>
          <t>2026-10-21</t>
        </is>
      </c>
      <c r="B92" s="2" t="inlineStr">
        <is>
          <t>CSX</t>
        </is>
      </c>
      <c r="C92" s="2" t="inlineStr">
        <is>
          <t>CSX</t>
        </is>
      </c>
      <c r="D92" s="2" t="inlineStr">
        <is>
          <t>position (lifecycle)</t>
        </is>
      </c>
      <c r="E92" s="2" t="inlineStr">
        <is>
          <t>Long</t>
        </is>
      </c>
      <c r="F92" s="2" t="inlineStr">
        <is>
          <t>Open</t>
        </is>
      </c>
      <c r="G92" s="2" t="inlineStr">
        <is>
          <t>2026-10-22</t>
        </is>
      </c>
      <c r="H92" s="2" t="inlineStr"/>
      <c r="I92" s="4" t="n">
        <v>88</v>
      </c>
      <c r="J92" s="5" t="n">
        <v>51.40897145714285</v>
      </c>
      <c r="K92" s="5" t="n"/>
      <c r="L92" s="5" t="n">
        <v>51.9900016784668</v>
      </c>
      <c r="M92" s="7">
        <f>IFERROR(IF(E92="Short",-1,1)*(IF(K92&lt;&gt;"",K92,L92)/J92-1),"")</f>
        <v/>
      </c>
      <c r="N92" s="6">
        <f>IFERROR(I92*(IF(K92&lt;&gt;"",K92,L92)-J92),"")</f>
        <v/>
      </c>
      <c r="O92" s="8" t="n">
        <v>0.66</v>
      </c>
      <c r="P92" s="2" t="n"/>
      <c r="Q92"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93">
      <c r="A93" s="2" t="inlineStr">
        <is>
          <t>2026-10-21</t>
        </is>
      </c>
      <c r="B93" s="2" t="inlineStr">
        <is>
          <t>HAS</t>
        </is>
      </c>
      <c r="C93" s="2" t="inlineStr">
        <is>
          <t>HAS</t>
        </is>
      </c>
      <c r="D93" s="2" t="inlineStr">
        <is>
          <t>position (lifecycle)</t>
        </is>
      </c>
      <c r="E93" s="2" t="inlineStr">
        <is>
          <t>Long</t>
        </is>
      </c>
      <c r="F93" s="2" t="inlineStr">
        <is>
          <t>Open</t>
        </is>
      </c>
      <c r="G93" s="2" t="inlineStr">
        <is>
          <t>2026-10-22</t>
        </is>
      </c>
      <c r="H93" s="2" t="inlineStr"/>
      <c r="I93" s="4" t="n">
        <v>21</v>
      </c>
      <c r="J93" s="5" t="n">
        <v>117.22</v>
      </c>
      <c r="K93" s="5" t="n"/>
      <c r="L93" s="5" t="n">
        <v>119.0899963378906</v>
      </c>
      <c r="M93" s="7">
        <f>IFERROR(IF(E93="Short",-1,1)*(IF(K93&lt;&gt;"",K93,L93)/J93-1),"")</f>
        <v/>
      </c>
      <c r="N93" s="6">
        <f>IFERROR(I93*(IF(K93&lt;&gt;"",K93,L93)-J93),"")</f>
        <v/>
      </c>
      <c r="O93" s="8" t="n">
        <v>0.55</v>
      </c>
      <c r="P93" s="2" t="n"/>
      <c r="Q93"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94">
      <c r="A94" s="2" t="inlineStr">
        <is>
          <t>2026-10-21</t>
        </is>
      </c>
      <c r="B94" s="2" t="inlineStr">
        <is>
          <t>ROL</t>
        </is>
      </c>
      <c r="C94" s="2" t="inlineStr">
        <is>
          <t>ROL</t>
        </is>
      </c>
      <c r="D94" s="2" t="inlineStr">
        <is>
          <t>position (lifecycle)</t>
        </is>
      </c>
      <c r="E94" s="2" t="inlineStr">
        <is>
          <t>Short</t>
        </is>
      </c>
      <c r="F94" s="2" t="inlineStr">
        <is>
          <t>Open</t>
        </is>
      </c>
      <c r="G94" s="2" t="inlineStr">
        <is>
          <t>2026-10-22</t>
        </is>
      </c>
      <c r="H94" s="2" t="inlineStr"/>
      <c r="I94" s="4" t="n">
        <v>-283</v>
      </c>
      <c r="J94" s="5" t="n">
        <v>35.04272084805654</v>
      </c>
      <c r="K94" s="5" t="n"/>
      <c r="L94" s="5" t="n">
        <v>34.65999984741211</v>
      </c>
      <c r="M94" s="7">
        <f>IFERROR(IF(E94="Short",-1,1)*(IF(K94&lt;&gt;"",K94,L94)/J94-1),"")</f>
        <v/>
      </c>
      <c r="N94" s="6">
        <f>IFERROR(I94*(IF(K94&lt;&gt;"",K94,L94)-J94),"")</f>
        <v/>
      </c>
      <c r="O94" s="8" t="n">
        <v>0.72</v>
      </c>
      <c r="P94" s="2" t="n"/>
      <c r="Q94"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95">
      <c r="A95" s="2" t="inlineStr">
        <is>
          <t>2026-10-28</t>
        </is>
      </c>
      <c r="B95" s="2" t="inlineStr">
        <is>
          <t>BIIB</t>
        </is>
      </c>
      <c r="C95" s="2" t="inlineStr">
        <is>
          <t>BIIB</t>
        </is>
      </c>
      <c r="D95" s="2" t="inlineStr">
        <is>
          <t>position (lifecycle)</t>
        </is>
      </c>
      <c r="E95" s="2" t="inlineStr">
        <is>
          <t>Long</t>
        </is>
      </c>
      <c r="F95" s="2" t="inlineStr">
        <is>
          <t>Open</t>
        </is>
      </c>
      <c r="G95" s="2" t="inlineStr">
        <is>
          <t>2026-10-29</t>
        </is>
      </c>
      <c r="H95" s="2" t="inlineStr"/>
      <c r="I95" s="4" t="n">
        <v>21</v>
      </c>
      <c r="J95" s="5" t="n">
        <v>249.94</v>
      </c>
      <c r="K95" s="5" t="n"/>
      <c r="L95" s="5" t="n">
        <v>253.6199951171875</v>
      </c>
      <c r="M95" s="7">
        <f>IFERROR(IF(E95="Short",-1,1)*(IF(K95&lt;&gt;"",K95,L95)/J95-1),"")</f>
        <v/>
      </c>
      <c r="N95" s="6">
        <f>IFERROR(I95*(IF(K95&lt;&gt;"",K95,L95)-J95),"")</f>
        <v/>
      </c>
      <c r="O95" s="8" t="n">
        <v>0.6</v>
      </c>
      <c r="P95" s="2" t="n"/>
      <c r="Q95" s="9" t="inlineStr">
        <is>
          <t>Biogen's Oct 28 Q3 beat (EPS $2.62 vs $2.02, rev $2.80bn +10.6%) with a raised FY profit floor and growth drugs +49% is fresh, material news. The muted same-week reaction (+1.3%) points to underreaction and post-earnings drift. Leqembi sales (Y32.2bn) reinforce the growth pivot. Near-52w-high valuation is the main risk. | horizon 37 days; exit if: Biogen cuts or withdraws its FY2026 EPS guidance; Leqembi quarterly sales decline or growth-product growth stalls; Q4 results miss estimates, reversing the post-earnings drift</t>
        </is>
      </c>
    </row>
    <row r="96">
      <c r="A96" s="2" t="inlineStr">
        <is>
          <t>2026-10-28</t>
        </is>
      </c>
      <c r="B96" s="2" t="inlineStr">
        <is>
          <t>BRO</t>
        </is>
      </c>
      <c r="C96" s="2" t="inlineStr">
        <is>
          <t>BRO</t>
        </is>
      </c>
      <c r="D96" s="2" t="inlineStr">
        <is>
          <t>position (lifecycle)</t>
        </is>
      </c>
      <c r="E96" s="2" t="inlineStr">
        <is>
          <t>Short</t>
        </is>
      </c>
      <c r="F96" s="2" t="inlineStr">
        <is>
          <t>Open</t>
        </is>
      </c>
      <c r="G96" s="2" t="inlineStr">
        <is>
          <t>2026-10-29</t>
        </is>
      </c>
      <c r="H96" s="2" t="inlineStr"/>
      <c r="I96" s="4" t="n">
        <v>-43</v>
      </c>
      <c r="J96" s="5" t="n">
        <v>67.88</v>
      </c>
      <c r="K96" s="5" t="n"/>
      <c r="L96" s="5" t="n">
        <v>69.76000213623047</v>
      </c>
      <c r="M96" s="7">
        <f>IFERROR(IF(E96="Short",-1,1)*(IF(K96&lt;&gt;"",K96,L96)/J96-1),"")</f>
        <v/>
      </c>
      <c r="N96" s="6">
        <f>IFERROR(I96*(IF(K96&lt;&gt;"",K96,L96)-J96),"")</f>
        <v/>
      </c>
      <c r="O96" s="8" t="n">
        <v>0.6</v>
      </c>
      <c r="P96" s="2" t="n"/>
      <c r="Q96" s="9" t="inlineStr">
        <is>
          <t>BRO's Oct 26 Q3 miss (EPS $1.07 vs $1.09; sales $1.725B vs $1.757B) with just 1.2% organic growth and margin contraction is a fresh, dominant negative story. Peer Aon beat with 6% organic growth, sharpening the relative read. Miss is partly priced after the 5% drop, so moderate conviction short. | horizon 3 days; exit if: Brown &amp; Brown reports organic revenue growth reaccelerating above 5% in a subsequent quarter; Brown &amp; Brown raises full-year guidance or reports margin expansion; Analysts upgrade Brown &amp; Brown citing improving organic growth and margins</t>
        </is>
      </c>
    </row>
    <row r="97">
      <c r="A97" s="2" t="inlineStr">
        <is>
          <t>2026-10-28</t>
        </is>
      </c>
      <c r="B97" s="2" t="inlineStr">
        <is>
          <t>BSX</t>
        </is>
      </c>
      <c r="C97" s="2" t="inlineStr">
        <is>
          <t>BSX</t>
        </is>
      </c>
      <c r="D97" s="2" t="inlineStr">
        <is>
          <t>position (lifecycle)</t>
        </is>
      </c>
      <c r="E97" s="2" t="inlineStr">
        <is>
          <t>Short</t>
        </is>
      </c>
      <c r="F97" s="2" t="inlineStr">
        <is>
          <t>Open</t>
        </is>
      </c>
      <c r="G97" s="2" t="inlineStr">
        <is>
          <t>2026-10-29</t>
        </is>
      </c>
      <c r="H97" s="2" t="inlineStr"/>
      <c r="I97" s="4" t="n">
        <v>-211</v>
      </c>
      <c r="J97" s="5" t="n">
        <v>42.42360189573459</v>
      </c>
      <c r="K97" s="5" t="n"/>
      <c r="L97" s="5" t="n">
        <v>41.97999954223633</v>
      </c>
      <c r="M97" s="7">
        <f>IFERROR(IF(E97="Short",-1,1)*(IF(K97&lt;&gt;"",K97,L97)/J97-1),"")</f>
        <v/>
      </c>
      <c r="N97" s="6">
        <f>IFERROR(I97*(IF(K97&lt;&gt;"",K97,L97)-J97),"")</f>
        <v/>
      </c>
      <c r="O97" s="8" t="n">
        <v>0.6</v>
      </c>
      <c r="P97" s="2" t="n"/>
      <c r="Q97" s="9" t="inlineStr">
        <is>
          <t>Oct 28 Q3 beat masked a third FY26 guidance cut: Q4 EPS $0.77-0.79 vs $0.84, sales below consensus, 200-300bps cyberattack hit, Q4 organic -1% to -3%, plus 2027 China/EP/Watchman headwinds. Fresh, material negative with likely analyst downgrades and post-earnings drift; news not fully digested. | horizon 63 days; exit if: Boston Scientific raises or restores its FY2026 guidance; Company reports cyberattack impact resolved with no Q4 revenue hit; Q4 organic revenue grows instead of declining 1% to 3%</t>
        </is>
      </c>
    </row>
    <row r="98">
      <c r="A98" s="2" t="inlineStr">
        <is>
          <t>2026-10-28</t>
        </is>
      </c>
      <c r="B98" s="2" t="inlineStr">
        <is>
          <t>CDNS</t>
        </is>
      </c>
      <c r="C98" s="2" t="inlineStr">
        <is>
          <t>CDNS</t>
        </is>
      </c>
      <c r="D98" s="2" t="inlineStr">
        <is>
          <t>position (lifecycle)</t>
        </is>
      </c>
      <c r="E98" s="2" t="inlineStr">
        <is>
          <t>Long</t>
        </is>
      </c>
      <c r="F98" s="2" t="inlineStr">
        <is>
          <t>Open</t>
        </is>
      </c>
      <c r="G98" s="2" t="inlineStr">
        <is>
          <t>2026-10-29</t>
        </is>
      </c>
      <c r="H98" s="2" t="inlineStr"/>
      <c r="I98" s="4" t="n">
        <v>8</v>
      </c>
      <c r="J98" s="5" t="n">
        <v>342.300001</v>
      </c>
      <c r="K98" s="5" t="n"/>
      <c r="L98" s="5" t="n">
        <v>327.8900146484375</v>
      </c>
      <c r="M98" s="7">
        <f>IFERROR(IF(E98="Short",-1,1)*(IF(K98&lt;&gt;"",K98,L98)/J98-1),"")</f>
        <v/>
      </c>
      <c r="N98" s="6">
        <f>IFERROR(I98*(IF(K98&lt;&gt;"",K98,L98)-J98),"")</f>
        <v/>
      </c>
      <c r="O98" s="8" t="n">
        <v>0.6</v>
      </c>
      <c r="P98" s="2" t="n"/>
      <c r="Q98" s="9" t="inlineStr">
        <is>
          <t>Oct 26 Q3 beat-and-raise (EPS $2.11 vs $2.04, revenue +22% to $1.63B, record backlog, third 2026 outlook raise) plus a new $2.5B buyback and clustered analyst PT hikes (Needham $430, Baird $440) create fresh positive momentum. News partly priced after a 5% weekly pop, so expect modest post-earnings drift, not a repeat surge. | horizon 3 days; exit if: Cadence cuts its FY2026 guidance; Cadence reports Q4 revenue below its guidance; Cadence cancels or reduces its $2.5B buyback plan</t>
        </is>
      </c>
    </row>
    <row r="99">
      <c r="A99" s="2" t="inlineStr">
        <is>
          <t>2026-10-28</t>
        </is>
      </c>
      <c r="B99" s="2" t="inlineStr">
        <is>
          <t>CRL</t>
        </is>
      </c>
      <c r="C99" s="2" t="inlineStr">
        <is>
          <t>CRL</t>
        </is>
      </c>
      <c r="D99" s="2" t="inlineStr">
        <is>
          <t>position (lifecycle)</t>
        </is>
      </c>
      <c r="E99" s="2" t="inlineStr">
        <is>
          <t>Short</t>
        </is>
      </c>
      <c r="F99" s="2" t="inlineStr">
        <is>
          <t>Open</t>
        </is>
      </c>
      <c r="G99" s="2" t="inlineStr">
        <is>
          <t>2026-10-29</t>
        </is>
      </c>
      <c r="H99" s="2" t="inlineStr"/>
      <c r="I99" s="4" t="n">
        <v>-3</v>
      </c>
      <c r="J99" s="5" t="n">
        <v>375.748571</v>
      </c>
      <c r="K99" s="5" t="n"/>
      <c r="L99" s="5" t="n">
        <v>359.4100036621094</v>
      </c>
      <c r="M99" s="7">
        <f>IFERROR(IF(E99="Short",-1,1)*(IF(K99&lt;&gt;"",K99,L99)/J99-1),"")</f>
        <v/>
      </c>
      <c r="N99" s="6">
        <f>IFERROR(I99*(IF(K99&lt;&gt;"",K99,L99)-J99),"")</f>
        <v/>
      </c>
      <c r="O99" s="8" t="n">
        <v>0.5</v>
      </c>
      <c r="P99" s="2" t="n"/>
      <c r="Q99" s="9" t="inlineStr">
        <is>
          <t>CRL enters its Nov 4 Q3 print at a 52-week high, +26.8% in a month, with the 'stock rally/overvaluation' story surging to 41% of coverage. Zacks flags a -0.48% Earnings ESP and 4.8% revenue decline, signaling consensus risk into a binary event. Positive FDA/Labcorp and Ipsen items are immaterial to revenue; fade the crowded run-up. | horizon 5 days; exit if: CRL reports revenue growth or positive Earnings ESP; Major unexpected positive business development announced</t>
        </is>
      </c>
    </row>
    <row r="100">
      <c r="A100" s="2" t="inlineStr">
        <is>
          <t>2026-10-28</t>
        </is>
      </c>
      <c r="B100" s="2" t="inlineStr">
        <is>
          <t>EQIX</t>
        </is>
      </c>
      <c r="C100" s="2" t="inlineStr">
        <is>
          <t>EQIX</t>
        </is>
      </c>
      <c r="D100" s="2" t="inlineStr">
        <is>
          <t>position (lifecycle)</t>
        </is>
      </c>
      <c r="E100" s="2" t="inlineStr">
        <is>
          <t>Long</t>
        </is>
      </c>
      <c r="F100" s="2" t="inlineStr">
        <is>
          <t>Open</t>
        </is>
      </c>
      <c r="G100" s="2" t="inlineStr">
        <is>
          <t>2026-10-29</t>
        </is>
      </c>
      <c r="H100" s="2" t="inlineStr"/>
      <c r="I100" s="4" t="n">
        <v>6</v>
      </c>
      <c r="J100" s="5" t="n">
        <v>1036.32</v>
      </c>
      <c r="K100" s="5" t="n"/>
      <c r="L100" s="5" t="n">
        <v>1013.700012207031</v>
      </c>
      <c r="M100" s="7">
        <f>IFERROR(IF(E100="Short",-1,1)*(IF(K100&lt;&gt;"",K100,L100)/J100-1),"")</f>
        <v/>
      </c>
      <c r="N100" s="6">
        <f>IFERROR(I100*(IF(K100&lt;&gt;"",K100,L100)-J100),"")</f>
        <v/>
      </c>
      <c r="O100" s="8" t="n">
        <v>0.7</v>
      </c>
      <c r="P100" s="2" t="n"/>
      <c r="Q100" s="9" t="inlineStr">
        <is>
          <t>Equinix's Oct 28 Q3 print delivered a 10.75% FFO beat, strong EPS, record bookings and a raised 2026 guidance — a concrete positive surprise that resolves the AI-valuation debate in bulls' favor. With the stock only +1.3% on the week and 9% below its high, the beat is not yet priced, supporting next-week outperformance. | horizon 22 days; exit if: Equinix cuts FY 2026 guidance or withdraws outlook; Q3 FFO beat is revised lower or restated; Major AI data center customer cancels or delays leases</t>
        </is>
      </c>
    </row>
    <row r="101">
      <c r="A101" s="2" t="inlineStr">
        <is>
          <t>2026-10-28</t>
        </is>
      </c>
      <c r="B101" s="2" t="inlineStr">
        <is>
          <t>LH</t>
        </is>
      </c>
      <c r="C101" s="2" t="inlineStr">
        <is>
          <t>LH</t>
        </is>
      </c>
      <c r="D101" s="2" t="inlineStr">
        <is>
          <t>position (lifecycle)</t>
        </is>
      </c>
      <c r="E101" s="2" t="inlineStr">
        <is>
          <t>Long</t>
        </is>
      </c>
      <c r="F101" s="2" t="inlineStr">
        <is>
          <t>Open</t>
        </is>
      </c>
      <c r="G101" s="2" t="inlineStr">
        <is>
          <t>2026-10-29</t>
        </is>
      </c>
      <c r="H101" s="2" t="inlineStr"/>
      <c r="I101" s="4" t="n">
        <v>6</v>
      </c>
      <c r="J101" s="5" t="n">
        <v>367.3500000000001</v>
      </c>
      <c r="K101" s="5" t="n"/>
      <c r="L101" s="5" t="n">
        <v>361.3900146484375</v>
      </c>
      <c r="M101" s="7">
        <f>IFERROR(IF(E101="Short",-1,1)*(IF(K101&lt;&gt;"",K101,L101)/J101-1),"")</f>
        <v/>
      </c>
      <c r="N101" s="6">
        <f>IFERROR(I101*(IF(K101&lt;&gt;"",K101,L101)-J101),"")</f>
        <v/>
      </c>
      <c r="O101" s="8" t="n">
        <v>0.5</v>
      </c>
      <c r="P101" s="2" t="n"/>
      <c r="Q101" s="9" t="inlineStr">
        <is>
          <t>Labcorp's Oct 28 Q3 beat and raised FY26 guidance is positive, but the stock's 11% weekly gain and 52-week high suggest much is priced. Expect modest relative outperformance from post-earnings drift. | horizon 3 days; exit if: Labcorp cuts or withdraws its FY2026 EPS and sales guidance; Q4 2026 results miss estimates and management signals weakening test volumes; Company discloses reimbursement or pricing pressure that resets full-year outlook lower</t>
        </is>
      </c>
    </row>
    <row r="102">
      <c r="A102" s="2" t="inlineStr">
        <is>
          <t>2026-10-28</t>
        </is>
      </c>
      <c r="B102" s="2" t="inlineStr">
        <is>
          <t>MRNA</t>
        </is>
      </c>
      <c r="C102" s="2" t="inlineStr">
        <is>
          <t>MRNA</t>
        </is>
      </c>
      <c r="D102" s="2" t="inlineStr">
        <is>
          <t>position (lifecycle)</t>
        </is>
      </c>
      <c r="E102" s="2" t="inlineStr">
        <is>
          <t>Short</t>
        </is>
      </c>
      <c r="F102" s="2" t="inlineStr">
        <is>
          <t>Open</t>
        </is>
      </c>
      <c r="G102" s="2" t="inlineStr">
        <is>
          <t>2026-10-29</t>
        </is>
      </c>
      <c r="H102" s="2" t="inlineStr"/>
      <c r="I102" s="4" t="n">
        <v>-12</v>
      </c>
      <c r="J102" s="5" t="n">
        <v>222.609167</v>
      </c>
      <c r="K102" s="5" t="n"/>
      <c r="L102" s="5" t="n">
        <v>221.7200012207031</v>
      </c>
      <c r="M102" s="7">
        <f>IFERROR(IF(E102="Short",-1,1)*(IF(K102&lt;&gt;"",K102,L102)/J102-1),"")</f>
        <v/>
      </c>
      <c r="N102" s="6">
        <f>IFERROR(I102*(IF(K102&lt;&gt;"",K102,L102)-J102),"")</f>
        <v/>
      </c>
      <c r="O102" s="8" t="n">
        <v>0.55</v>
      </c>
      <c r="P102" s="2" t="n"/>
      <c r="Q102" s="9" t="inlineStr">
        <is>
          <t>Melanoma vaccine data leak on Oct 22 triggered a sell-the-news collapse; the 42% risk reduction met expectations but left doubts about broader cancer use. With the stock still up 679% and no new positive catalyst, MRNA likely underperforms next week. | horizon 3 days; exit if: Moderna announces new positive Phase 3 or regulatory news for its cancer vaccine beyond melanoma; FDA grants breakthrough designation or accepts filing for intismeran; Multiple analysts upgrade MRNA on broader cancer-use potential</t>
        </is>
      </c>
    </row>
    <row r="103">
      <c r="A103" s="2" t="inlineStr">
        <is>
          <t>2026-10-28</t>
        </is>
      </c>
      <c r="B103" s="2" t="inlineStr">
        <is>
          <t>VLO</t>
        </is>
      </c>
      <c r="C103" s="2" t="inlineStr">
        <is>
          <t>VLO</t>
        </is>
      </c>
      <c r="D103" s="2" t="inlineStr">
        <is>
          <t>position (lifecycle)</t>
        </is>
      </c>
      <c r="E103" s="2" t="inlineStr">
        <is>
          <t>Short</t>
        </is>
      </c>
      <c r="F103" s="2" t="inlineStr">
        <is>
          <t>Open</t>
        </is>
      </c>
      <c r="G103" s="2" t="inlineStr">
        <is>
          <t>2026-10-29</t>
        </is>
      </c>
      <c r="H103" s="2" t="inlineStr"/>
      <c r="I103" s="4" t="n">
        <v>-7</v>
      </c>
      <c r="J103" s="5" t="n">
        <v>384.434286</v>
      </c>
      <c r="K103" s="5" t="n"/>
      <c r="L103" s="5" t="n">
        <v>399.6600036621094</v>
      </c>
      <c r="M103" s="7">
        <f>IFERROR(IF(E103="Short",-1,1)*(IF(K103&lt;&gt;"",K103,L103)/J103-1),"")</f>
        <v/>
      </c>
      <c r="N103" s="6">
        <f>IFERROR(I103*(IF(K103&lt;&gt;"",K103,L103)-J103),"")</f>
        <v/>
      </c>
      <c r="O103" s="8" t="n">
        <v>0.55</v>
      </c>
      <c r="P103" s="2" t="n"/>
      <c r="Q103" s="9" t="inlineStr">
        <is>
          <t>VLO's Q3 beat (Oct 22) failed to lift the stock, which slipped then fell ~8% on Oct 28 as the Energy Secretary opened the door to more Russian diesel imports and refining margins shrank. The margin-boom story is turning negative on a fresh supply catalyst not fully priced. Lean short next week. | horizon 21 days; exit if: US blocks or reverses the Russian diesel import plan; Valero reports Q4 refining margins above Q3 levels</t>
        </is>
      </c>
    </row>
  </sheetData>
  <autoFilter ref="A1:Q10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row r="155">
      <c r="A155" s="2" t="inlineStr">
        <is>
          <t>2026-10-28</t>
        </is>
      </c>
      <c r="B155" s="2" t="inlineStr">
        <is>
          <t>2026-10-29</t>
        </is>
      </c>
      <c r="C155" s="2" t="inlineStr">
        <is>
          <t>AVGO</t>
        </is>
      </c>
      <c r="D155" s="2" t="inlineStr">
        <is>
          <t>rebalance</t>
        </is>
      </c>
      <c r="E155" s="2" t="inlineStr">
        <is>
          <t>buy</t>
        </is>
      </c>
      <c r="F155" s="10" t="n">
        <v>8</v>
      </c>
      <c r="G155" s="10" t="n">
        <v>8</v>
      </c>
      <c r="H155" s="2" t="inlineStr">
        <is>
          <t>market, last minute before the close (lifecycle)</t>
        </is>
      </c>
      <c r="I155" s="5" t="n">
        <v>344.84</v>
      </c>
      <c r="J155" s="2" t="inlineStr">
        <is>
          <t>filled</t>
        </is>
      </c>
      <c r="K155" s="5" t="n">
        <v>344.98</v>
      </c>
      <c r="L155" s="5" t="n"/>
      <c r="M155" s="11" t="n"/>
      <c r="N155" s="10">
        <f>IFERROR(G155*IF(K155&lt;&gt;"",K155,I155),"")</f>
        <v/>
      </c>
      <c r="O155" s="2" t="inlineStr">
        <is>
          <t>fund-lc-2026-10-29-AVGO-rebalance</t>
        </is>
      </c>
    </row>
    <row r="156">
      <c r="A156" s="2" t="inlineStr">
        <is>
          <t>2026-10-28</t>
        </is>
      </c>
      <c r="B156" s="2" t="inlineStr">
        <is>
          <t>2026-10-29</t>
        </is>
      </c>
      <c r="C156" s="2" t="inlineStr">
        <is>
          <t>BA</t>
        </is>
      </c>
      <c r="D156" s="2" t="inlineStr">
        <is>
          <t>rebalance</t>
        </is>
      </c>
      <c r="E156" s="2" t="inlineStr">
        <is>
          <t>sell</t>
        </is>
      </c>
      <c r="F156" s="10" t="n">
        <v>16</v>
      </c>
      <c r="G156" s="10" t="n">
        <v>16</v>
      </c>
      <c r="H156" s="2" t="inlineStr">
        <is>
          <t>market, last minute before the close (lifecycle)</t>
        </is>
      </c>
      <c r="I156" s="5" t="n">
        <v>172.63</v>
      </c>
      <c r="J156" s="2" t="inlineStr">
        <is>
          <t>filled</t>
        </is>
      </c>
      <c r="K156" s="5" t="n">
        <v>172.82</v>
      </c>
      <c r="L156" s="5" t="n"/>
      <c r="M156" s="11" t="n"/>
      <c r="N156" s="10">
        <f>IFERROR(G156*IF(K156&lt;&gt;"",K156,I156),"")</f>
        <v/>
      </c>
      <c r="O156" s="2" t="inlineStr">
        <is>
          <t>fund-lc-2026-10-29-BA-rebalance</t>
        </is>
      </c>
    </row>
    <row r="157">
      <c r="A157" s="2" t="inlineStr">
        <is>
          <t>2026-10-28</t>
        </is>
      </c>
      <c r="B157" s="2" t="inlineStr">
        <is>
          <t>2026-10-29</t>
        </is>
      </c>
      <c r="C157" s="2" t="inlineStr">
        <is>
          <t>BIIB</t>
        </is>
      </c>
      <c r="D157" s="2" t="inlineStr">
        <is>
          <t>rebalance</t>
        </is>
      </c>
      <c r="E157" s="2" t="inlineStr">
        <is>
          <t>buy</t>
        </is>
      </c>
      <c r="F157" s="10" t="n">
        <v>21</v>
      </c>
      <c r="G157" s="10" t="n">
        <v>21</v>
      </c>
      <c r="H157" s="2" t="inlineStr">
        <is>
          <t>market, last minute before the close (lifecycle)</t>
        </is>
      </c>
      <c r="I157" s="5" t="n">
        <v>249.76</v>
      </c>
      <c r="J157" s="2" t="inlineStr">
        <is>
          <t>filled</t>
        </is>
      </c>
      <c r="K157" s="5" t="n">
        <v>249.94</v>
      </c>
      <c r="L157" s="5" t="n"/>
      <c r="M157" s="11" t="n"/>
      <c r="N157" s="10">
        <f>IFERROR(G157*IF(K157&lt;&gt;"",K157,I157),"")</f>
        <v/>
      </c>
      <c r="O157" s="2" t="inlineStr">
        <is>
          <t>fund-lc-2026-10-29-BIIB-rebalance</t>
        </is>
      </c>
    </row>
    <row r="158">
      <c r="A158" s="2" t="inlineStr">
        <is>
          <t>2026-10-28</t>
        </is>
      </c>
      <c r="B158" s="2" t="inlineStr">
        <is>
          <t>2026-10-29</t>
        </is>
      </c>
      <c r="C158" s="2" t="inlineStr">
        <is>
          <t>BRO</t>
        </is>
      </c>
      <c r="D158" s="2" t="inlineStr">
        <is>
          <t>rebalance</t>
        </is>
      </c>
      <c r="E158" s="2" t="inlineStr">
        <is>
          <t>sell</t>
        </is>
      </c>
      <c r="F158" s="10" t="n">
        <v>43</v>
      </c>
      <c r="G158" s="10" t="n">
        <v>43</v>
      </c>
      <c r="H158" s="2" t="inlineStr">
        <is>
          <t>market, last minute before the close (lifecycle)</t>
        </is>
      </c>
      <c r="I158" s="5" t="n">
        <v>67.86</v>
      </c>
      <c r="J158" s="2" t="inlineStr">
        <is>
          <t>filled</t>
        </is>
      </c>
      <c r="K158" s="5" t="n">
        <v>67.88</v>
      </c>
      <c r="L158" s="5" t="n"/>
      <c r="M158" s="11" t="n"/>
      <c r="N158" s="10">
        <f>IFERROR(G158*IF(K158&lt;&gt;"",K158,I158),"")</f>
        <v/>
      </c>
      <c r="O158" s="2" t="inlineStr">
        <is>
          <t>fund-lc-2026-10-29-BRO-rebalance</t>
        </is>
      </c>
    </row>
    <row r="159">
      <c r="A159" s="2" t="inlineStr">
        <is>
          <t>2026-10-28</t>
        </is>
      </c>
      <c r="B159" s="2" t="inlineStr">
        <is>
          <t>2026-10-29</t>
        </is>
      </c>
      <c r="C159" s="2" t="inlineStr">
        <is>
          <t>BSX</t>
        </is>
      </c>
      <c r="D159" s="2" t="inlineStr">
        <is>
          <t>rebalance</t>
        </is>
      </c>
      <c r="E159" s="2" t="inlineStr">
        <is>
          <t>sell</t>
        </is>
      </c>
      <c r="F159" s="10" t="n">
        <v>138</v>
      </c>
      <c r="G159" s="10" t="n">
        <v>138</v>
      </c>
      <c r="H159" s="2" t="inlineStr">
        <is>
          <t>market, last minute before the close (lifecycle)</t>
        </is>
      </c>
      <c r="I159" s="5" t="n">
        <v>42.755</v>
      </c>
      <c r="J159" s="2" t="inlineStr">
        <is>
          <t>filled</t>
        </is>
      </c>
      <c r="K159" s="5" t="n">
        <v>42.69</v>
      </c>
      <c r="L159" s="5" t="n"/>
      <c r="M159" s="11" t="n"/>
      <c r="N159" s="10">
        <f>IFERROR(G159*IF(K159&lt;&gt;"",K159,I159),"")</f>
        <v/>
      </c>
      <c r="O159" s="2" t="inlineStr">
        <is>
          <t>fund-lc-2026-10-29-BSX-rebalance</t>
        </is>
      </c>
    </row>
    <row r="160">
      <c r="A160" s="2" t="inlineStr">
        <is>
          <t>2026-10-28</t>
        </is>
      </c>
      <c r="B160" s="2" t="inlineStr">
        <is>
          <t>2026-10-29</t>
        </is>
      </c>
      <c r="C160" s="2" t="inlineStr">
        <is>
          <t>CDNS</t>
        </is>
      </c>
      <c r="D160" s="2" t="inlineStr">
        <is>
          <t>rebalance</t>
        </is>
      </c>
      <c r="E160" s="2" t="inlineStr">
        <is>
          <t>buy</t>
        </is>
      </c>
      <c r="F160" s="10" t="n">
        <v>8</v>
      </c>
      <c r="G160" s="10" t="n">
        <v>8</v>
      </c>
      <c r="H160" s="2" t="inlineStr">
        <is>
          <t>market, last minute before the close (lifecycle)</t>
        </is>
      </c>
      <c r="I160" s="5" t="n">
        <v>342.245</v>
      </c>
      <c r="J160" s="2" t="inlineStr">
        <is>
          <t>filled</t>
        </is>
      </c>
      <c r="K160" s="5" t="n">
        <v>342.300001</v>
      </c>
      <c r="L160" s="5" t="n"/>
      <c r="M160" s="11" t="n"/>
      <c r="N160" s="10">
        <f>IFERROR(G160*IF(K160&lt;&gt;"",K160,I160),"")</f>
        <v/>
      </c>
      <c r="O160" s="2" t="inlineStr">
        <is>
          <t>fund-lc-2026-10-29-CDNS-rebalance</t>
        </is>
      </c>
    </row>
    <row r="161">
      <c r="A161" s="2" t="inlineStr">
        <is>
          <t>2026-10-28</t>
        </is>
      </c>
      <c r="B161" s="2" t="inlineStr">
        <is>
          <t>2026-10-29</t>
        </is>
      </c>
      <c r="C161" s="2" t="inlineStr">
        <is>
          <t>CMG</t>
        </is>
      </c>
      <c r="D161" s="2" t="inlineStr">
        <is>
          <t>close</t>
        </is>
      </c>
      <c r="E161" s="2" t="inlineStr">
        <is>
          <t>buy</t>
        </is>
      </c>
      <c r="F161" s="10" t="n">
        <v>86</v>
      </c>
      <c r="G161" s="10" t="n">
        <v>86</v>
      </c>
      <c r="H161" s="2" t="inlineStr">
        <is>
          <t>market, last minute before the close (lifecycle)</t>
        </is>
      </c>
      <c r="I161" s="5" t="n">
        <v>31.26</v>
      </c>
      <c r="J161" s="2" t="inlineStr">
        <is>
          <t>filled</t>
        </is>
      </c>
      <c r="K161" s="5" t="n">
        <v>31.34</v>
      </c>
      <c r="L161" s="5" t="n"/>
      <c r="M161" s="11" t="n"/>
      <c r="N161" s="10">
        <f>IFERROR(G161*IF(K161&lt;&gt;"",K161,I161),"")</f>
        <v/>
      </c>
      <c r="O161" s="2" t="inlineStr">
        <is>
          <t>fund-lc-2026-10-29-CMG-close</t>
        </is>
      </c>
    </row>
    <row r="162">
      <c r="A162" s="2" t="inlineStr">
        <is>
          <t>2026-10-28</t>
        </is>
      </c>
      <c r="B162" s="2" t="inlineStr">
        <is>
          <t>2026-10-29</t>
        </is>
      </c>
      <c r="C162" s="2" t="inlineStr">
        <is>
          <t>CRL</t>
        </is>
      </c>
      <c r="D162" s="2" t="inlineStr">
        <is>
          <t>rebalance</t>
        </is>
      </c>
      <c r="E162" s="2" t="inlineStr">
        <is>
          <t>sell</t>
        </is>
      </c>
      <c r="F162" s="10" t="n">
        <v>7</v>
      </c>
      <c r="G162" s="10" t="n">
        <v>7</v>
      </c>
      <c r="H162" s="2" t="inlineStr">
        <is>
          <t>market, last minute before the close (lifecycle)</t>
        </is>
      </c>
      <c r="I162" s="5" t="n">
        <v>376.175</v>
      </c>
      <c r="J162" s="2" t="inlineStr">
        <is>
          <t>filled</t>
        </is>
      </c>
      <c r="K162" s="5" t="n">
        <v>375.748571</v>
      </c>
      <c r="L162" s="5" t="n"/>
      <c r="M162" s="11" t="n"/>
      <c r="N162" s="10">
        <f>IFERROR(G162*IF(K162&lt;&gt;"",K162,I162),"")</f>
        <v/>
      </c>
      <c r="O162" s="2" t="inlineStr">
        <is>
          <t>fund-lc-2026-10-29-CRL-rebalance</t>
        </is>
      </c>
    </row>
    <row r="163">
      <c r="A163" s="2" t="inlineStr">
        <is>
          <t>2026-10-28</t>
        </is>
      </c>
      <c r="B163" s="2" t="inlineStr">
        <is>
          <t>2026-10-29</t>
        </is>
      </c>
      <c r="C163" s="2" t="inlineStr">
        <is>
          <t>EQIX</t>
        </is>
      </c>
      <c r="D163" s="2" t="inlineStr">
        <is>
          <t>rebalance</t>
        </is>
      </c>
      <c r="E163" s="2" t="inlineStr">
        <is>
          <t>buy</t>
        </is>
      </c>
      <c r="F163" s="10" t="n">
        <v>6</v>
      </c>
      <c r="G163" s="10" t="n">
        <v>6</v>
      </c>
      <c r="H163" s="2" t="inlineStr">
        <is>
          <t>market, last minute before the close (lifecycle)</t>
        </is>
      </c>
      <c r="I163" s="5" t="n">
        <v>1035.16</v>
      </c>
      <c r="J163" s="2" t="inlineStr">
        <is>
          <t>filled</t>
        </is>
      </c>
      <c r="K163" s="5" t="n">
        <v>1036.32</v>
      </c>
      <c r="L163" s="5" t="n"/>
      <c r="M163" s="11" t="n"/>
      <c r="N163" s="10">
        <f>IFERROR(G163*IF(K163&lt;&gt;"",K163,I163),"")</f>
        <v/>
      </c>
      <c r="O163" s="2" t="inlineStr">
        <is>
          <t>fund-lc-2026-10-29-EQIX-rebalance</t>
        </is>
      </c>
    </row>
    <row r="164">
      <c r="A164" s="2" t="inlineStr">
        <is>
          <t>2026-10-28</t>
        </is>
      </c>
      <c r="B164" s="2" t="inlineStr">
        <is>
          <t>2026-10-29</t>
        </is>
      </c>
      <c r="C164" s="2" t="inlineStr">
        <is>
          <t>GOOGL</t>
        </is>
      </c>
      <c r="D164" s="2" t="inlineStr">
        <is>
          <t>rebalance</t>
        </is>
      </c>
      <c r="E164" s="2" t="inlineStr">
        <is>
          <t>sell</t>
        </is>
      </c>
      <c r="F164" s="10" t="n">
        <v>21</v>
      </c>
      <c r="G164" s="10" t="n">
        <v>21</v>
      </c>
      <c r="H164" s="2" t="inlineStr">
        <is>
          <t>market, last minute before the close (lifecycle)</t>
        </is>
      </c>
      <c r="I164" s="5" t="n">
        <v>283.465</v>
      </c>
      <c r="J164" s="2" t="inlineStr">
        <is>
          <t>filled</t>
        </is>
      </c>
      <c r="K164" s="5" t="n">
        <v>283.455714</v>
      </c>
      <c r="L164" s="5" t="n"/>
      <c r="M164" s="11" t="n"/>
      <c r="N164" s="10">
        <f>IFERROR(G164*IF(K164&lt;&gt;"",K164,I164),"")</f>
        <v/>
      </c>
      <c r="O164" s="2" t="inlineStr">
        <is>
          <t>fund-lc-2026-10-29-GOOGL-rebalance</t>
        </is>
      </c>
    </row>
    <row r="165">
      <c r="A165" s="2" t="inlineStr">
        <is>
          <t>2026-10-28</t>
        </is>
      </c>
      <c r="B165" s="2" t="inlineStr">
        <is>
          <t>2026-10-29</t>
        </is>
      </c>
      <c r="C165" s="2" t="inlineStr">
        <is>
          <t>LH</t>
        </is>
      </c>
      <c r="D165" s="2" t="inlineStr">
        <is>
          <t>rebalance</t>
        </is>
      </c>
      <c r="E165" s="2" t="inlineStr">
        <is>
          <t>buy</t>
        </is>
      </c>
      <c r="F165" s="10" t="n">
        <v>6</v>
      </c>
      <c r="G165" s="10" t="n">
        <v>6</v>
      </c>
      <c r="H165" s="2" t="inlineStr">
        <is>
          <t>market, last minute before the close (lifecycle)</t>
        </is>
      </c>
      <c r="I165" s="5" t="n">
        <v>368.03</v>
      </c>
      <c r="J165" s="2" t="inlineStr">
        <is>
          <t>filled</t>
        </is>
      </c>
      <c r="K165" s="5" t="n">
        <v>367.3500000000001</v>
      </c>
      <c r="L165" s="5" t="n"/>
      <c r="M165" s="11" t="n"/>
      <c r="N165" s="10">
        <f>IFERROR(G165*IF(K165&lt;&gt;"",K165,I165),"")</f>
        <v/>
      </c>
      <c r="O165" s="2" t="inlineStr">
        <is>
          <t>fund-lc-2026-10-29-LH-rebalance</t>
        </is>
      </c>
    </row>
    <row r="166">
      <c r="A166" s="2" t="inlineStr">
        <is>
          <t>2026-10-28</t>
        </is>
      </c>
      <c r="B166" s="2" t="inlineStr">
        <is>
          <t>2026-10-29</t>
        </is>
      </c>
      <c r="C166" s="2" t="inlineStr">
        <is>
          <t>LRCX</t>
        </is>
      </c>
      <c r="D166" s="2" t="inlineStr">
        <is>
          <t>close</t>
        </is>
      </c>
      <c r="E166" s="2" t="inlineStr">
        <is>
          <t>buy</t>
        </is>
      </c>
      <c r="F166" s="10" t="n">
        <v>7</v>
      </c>
      <c r="G166" s="10" t="n">
        <v>7</v>
      </c>
      <c r="H166" s="2" t="inlineStr">
        <is>
          <t>market, last minute before the close (lifecycle)</t>
        </is>
      </c>
      <c r="I166" s="5" t="n">
        <v>254.03</v>
      </c>
      <c r="J166" s="2" t="inlineStr">
        <is>
          <t>filled</t>
        </is>
      </c>
      <c r="K166" s="5" t="n">
        <v>254.17</v>
      </c>
      <c r="L166" s="5" t="n"/>
      <c r="M166" s="11" t="n"/>
      <c r="N166" s="10">
        <f>IFERROR(G166*IF(K166&lt;&gt;"",K166,I166),"")</f>
        <v/>
      </c>
      <c r="O166" s="2" t="inlineStr">
        <is>
          <t>fund-lc-2026-10-29-LRCX-close</t>
        </is>
      </c>
    </row>
    <row r="167">
      <c r="A167" s="2" t="inlineStr">
        <is>
          <t>2026-10-28</t>
        </is>
      </c>
      <c r="B167" s="2" t="inlineStr">
        <is>
          <t>2026-10-29</t>
        </is>
      </c>
      <c r="C167" s="2" t="inlineStr">
        <is>
          <t>MRNA</t>
        </is>
      </c>
      <c r="D167" s="2" t="inlineStr">
        <is>
          <t>rebalance</t>
        </is>
      </c>
      <c r="E167" s="2" t="inlineStr">
        <is>
          <t>sell</t>
        </is>
      </c>
      <c r="F167" s="10" t="n">
        <v>12</v>
      </c>
      <c r="G167" s="10" t="n">
        <v>12</v>
      </c>
      <c r="H167" s="2" t="inlineStr">
        <is>
          <t>market, last minute before the close (lifecycle)</t>
        </is>
      </c>
      <c r="I167" s="5" t="n">
        <v>222.57</v>
      </c>
      <c r="J167" s="2" t="inlineStr">
        <is>
          <t>filled</t>
        </is>
      </c>
      <c r="K167" s="5" t="n">
        <v>222.609167</v>
      </c>
      <c r="L167" s="5" t="n"/>
      <c r="M167" s="11" t="n"/>
      <c r="N167" s="10">
        <f>IFERROR(G167*IF(K167&lt;&gt;"",K167,I167),"")</f>
        <v/>
      </c>
      <c r="O167" s="2" t="inlineStr">
        <is>
          <t>fund-lc-2026-10-29-MRNA-rebalance</t>
        </is>
      </c>
    </row>
    <row r="168">
      <c r="A168" s="2" t="inlineStr">
        <is>
          <t>2026-10-28</t>
        </is>
      </c>
      <c r="B168" s="2" t="inlineStr">
        <is>
          <t>2026-10-29</t>
        </is>
      </c>
      <c r="C168" s="2" t="inlineStr">
        <is>
          <t>MSFT</t>
        </is>
      </c>
      <c r="D168" s="2" t="inlineStr">
        <is>
          <t>flatten</t>
        </is>
      </c>
      <c r="E168" s="2" t="inlineStr">
        <is>
          <t>buy</t>
        </is>
      </c>
      <c r="F168" s="10" t="n">
        <v>5</v>
      </c>
      <c r="G168" s="10" t="n">
        <v>5</v>
      </c>
      <c r="H168" s="2" t="inlineStr">
        <is>
          <t>market, last minute before the close (lifecycle)</t>
        </is>
      </c>
      <c r="I168" s="5" t="n">
        <v>530.615</v>
      </c>
      <c r="J168" s="2" t="inlineStr">
        <is>
          <t>filled</t>
        </is>
      </c>
      <c r="K168" s="5" t="n">
        <v>530.426</v>
      </c>
      <c r="L168" s="5" t="n"/>
      <c r="M168" s="11" t="n"/>
      <c r="N168" s="10">
        <f>IFERROR(G168*IF(K168&lt;&gt;"",K168,I168),"")</f>
        <v/>
      </c>
      <c r="O168" s="2" t="inlineStr">
        <is>
          <t>fund-lc-2026-10-29-MSFT-flatten</t>
        </is>
      </c>
    </row>
    <row r="169">
      <c r="A169" s="2" t="inlineStr">
        <is>
          <t>2026-10-28</t>
        </is>
      </c>
      <c r="B169" s="2" t="inlineStr">
        <is>
          <t>2026-10-29</t>
        </is>
      </c>
      <c r="C169" s="2" t="inlineStr">
        <is>
          <t>MSFT</t>
        </is>
      </c>
      <c r="D169" s="2" t="inlineStr">
        <is>
          <t>open</t>
        </is>
      </c>
      <c r="E169" s="2" t="inlineStr">
        <is>
          <t>buy</t>
        </is>
      </c>
      <c r="F169" s="10" t="n">
        <v>10</v>
      </c>
      <c r="G169" s="10" t="n">
        <v>10</v>
      </c>
      <c r="H169" s="2" t="inlineStr">
        <is>
          <t>market, last minute before the close (lifecycle)</t>
        </is>
      </c>
      <c r="I169" s="5" t="n">
        <v>530.615</v>
      </c>
      <c r="J169" s="2" t="inlineStr">
        <is>
          <t>filled</t>
        </is>
      </c>
      <c r="K169" s="5" t="n">
        <v>530.2380000000001</v>
      </c>
      <c r="L169" s="5" t="n"/>
      <c r="M169" s="11" t="n"/>
      <c r="N169" s="10">
        <f>IFERROR(G169*IF(K169&lt;&gt;"",K169,I169),"")</f>
        <v/>
      </c>
      <c r="O169" s="2" t="inlineStr">
        <is>
          <t>fund-lc-2026-10-29-MSFT-open</t>
        </is>
      </c>
    </row>
    <row r="170">
      <c r="A170" s="2" t="inlineStr">
        <is>
          <t>2026-10-28</t>
        </is>
      </c>
      <c r="B170" s="2" t="inlineStr">
        <is>
          <t>2026-10-29</t>
        </is>
      </c>
      <c r="C170" s="2" t="inlineStr">
        <is>
          <t>SPY</t>
        </is>
      </c>
      <c r="D170" s="2" t="inlineStr">
        <is>
          <t>rebalance</t>
        </is>
      </c>
      <c r="E170" s="2" t="inlineStr">
        <is>
          <t>sell</t>
        </is>
      </c>
      <c r="F170" s="10" t="n">
        <v>7</v>
      </c>
      <c r="G170" s="10" t="n">
        <v>7</v>
      </c>
      <c r="H170" s="2" t="inlineStr">
        <is>
          <t>market, last minute before the close (lifecycle)</t>
        </is>
      </c>
      <c r="I170" s="5" t="n">
        <v>769.3</v>
      </c>
      <c r="J170" s="2" t="inlineStr">
        <is>
          <t>filled</t>
        </is>
      </c>
      <c r="K170" s="5" t="n">
        <v>769.26</v>
      </c>
      <c r="L170" s="5" t="n"/>
      <c r="M170" s="11" t="n"/>
      <c r="N170" s="10">
        <f>IFERROR(G170*IF(K170&lt;&gt;"",K170,I170),"")</f>
        <v/>
      </c>
      <c r="O170" s="2" t="inlineStr">
        <is>
          <t>fund-lc-2026-10-29-SPY-rebalance</t>
        </is>
      </c>
    </row>
    <row r="171">
      <c r="A171" s="2" t="inlineStr">
        <is>
          <t>2026-10-28</t>
        </is>
      </c>
      <c r="B171" s="2" t="inlineStr">
        <is>
          <t>2026-10-29</t>
        </is>
      </c>
      <c r="C171" s="2" t="inlineStr">
        <is>
          <t>VLO</t>
        </is>
      </c>
      <c r="D171" s="2" t="inlineStr">
        <is>
          <t>rebalance</t>
        </is>
      </c>
      <c r="E171" s="2" t="inlineStr">
        <is>
          <t>sell</t>
        </is>
      </c>
      <c r="F171" s="10" t="n">
        <v>7</v>
      </c>
      <c r="G171" s="10" t="n">
        <v>7</v>
      </c>
      <c r="H171" s="2" t="inlineStr">
        <is>
          <t>market, last minute before the close (lifecycle)</t>
        </is>
      </c>
      <c r="I171" s="5" t="n">
        <v>383.68</v>
      </c>
      <c r="J171" s="2" t="inlineStr">
        <is>
          <t>filled</t>
        </is>
      </c>
      <c r="K171" s="5" t="n">
        <v>384.434286</v>
      </c>
      <c r="L171" s="5" t="n"/>
      <c r="M171" s="11" t="n"/>
      <c r="N171" s="10">
        <f>IFERROR(G171*IF(K171&lt;&gt;"",K171,I171),"")</f>
        <v/>
      </c>
      <c r="O171" s="2" t="inlineStr">
        <is>
          <t>fund-lc-2026-10-29-VLO-rebalance</t>
        </is>
      </c>
    </row>
    <row r="172">
      <c r="A172" s="2" t="inlineStr">
        <is>
          <t>2026-10-28</t>
        </is>
      </c>
      <c r="B172" s="2" t="inlineStr">
        <is>
          <t>2026-10-30</t>
        </is>
      </c>
      <c r="C172" s="2" t="inlineStr">
        <is>
          <t>BSX</t>
        </is>
      </c>
      <c r="D172" s="2" t="inlineStr">
        <is>
          <t>rebalance</t>
        </is>
      </c>
      <c r="E172" s="2" t="inlineStr">
        <is>
          <t>sell</t>
        </is>
      </c>
      <c r="F172" s="10" t="n">
        <v>73</v>
      </c>
      <c r="G172" s="10" t="n">
        <v>73</v>
      </c>
      <c r="H172" s="2" t="inlineStr">
        <is>
          <t>market, last minute before the close (lifecycle)</t>
        </is>
      </c>
      <c r="I172" s="5" t="n">
        <v>41.855</v>
      </c>
      <c r="J172" s="2" t="inlineStr">
        <is>
          <t>filled</t>
        </is>
      </c>
      <c r="K172" s="5" t="n">
        <v>41.92</v>
      </c>
      <c r="L172" s="5" t="n"/>
      <c r="M172" s="11" t="n"/>
      <c r="N172" s="10">
        <f>IFERROR(G172*IF(K172&lt;&gt;"",K172,I172),"")</f>
        <v/>
      </c>
      <c r="O172" s="2" t="inlineStr">
        <is>
          <t>fund-lc-2026-10-30-BSX-rebalance</t>
        </is>
      </c>
    </row>
    <row r="173">
      <c r="A173" s="2" t="inlineStr">
        <is>
          <t>2026-10-28</t>
        </is>
      </c>
      <c r="B173" s="2" t="inlineStr">
        <is>
          <t>2026-10-30</t>
        </is>
      </c>
      <c r="C173" s="2" t="inlineStr">
        <is>
          <t>CRL</t>
        </is>
      </c>
      <c r="D173" s="2" t="inlineStr">
        <is>
          <t>rebalance</t>
        </is>
      </c>
      <c r="E173" s="2" t="inlineStr">
        <is>
          <t>buy</t>
        </is>
      </c>
      <c r="F173" s="10" t="n">
        <v>4</v>
      </c>
      <c r="G173" s="10" t="n">
        <v>4</v>
      </c>
      <c r="H173" s="2" t="inlineStr">
        <is>
          <t>market, last minute before the close (lifecycle)</t>
        </is>
      </c>
      <c r="I173" s="5" t="n">
        <v>359.52</v>
      </c>
      <c r="J173" s="2" t="inlineStr">
        <is>
          <t>filled</t>
        </is>
      </c>
      <c r="K173" s="5" t="n">
        <v>359.92</v>
      </c>
      <c r="L173" s="5" t="n"/>
      <c r="M173" s="11" t="n"/>
      <c r="N173" s="10">
        <f>IFERROR(G173*IF(K173&lt;&gt;"",K173,I173),"")</f>
        <v/>
      </c>
      <c r="O173" s="2" t="inlineStr">
        <is>
          <t>fund-lc-2026-10-30-CRL-rebalance</t>
        </is>
      </c>
    </row>
    <row r="174">
      <c r="A174" s="2" t="inlineStr">
        <is>
          <t>2026-10-28</t>
        </is>
      </c>
      <c r="B174" s="2" t="inlineStr">
        <is>
          <t>2026-10-30</t>
        </is>
      </c>
      <c r="C174" s="2" t="inlineStr">
        <is>
          <t>CSX</t>
        </is>
      </c>
      <c r="D174" s="2" t="inlineStr">
        <is>
          <t>rebalance</t>
        </is>
      </c>
      <c r="E174" s="2" t="inlineStr">
        <is>
          <t>sell</t>
        </is>
      </c>
      <c r="F174" s="10" t="n">
        <v>87</v>
      </c>
      <c r="G174" s="10" t="n">
        <v>87</v>
      </c>
      <c r="H174" s="2" t="inlineStr">
        <is>
          <t>market, last minute before the close (lifecycle)</t>
        </is>
      </c>
      <c r="I174" s="5" t="n">
        <v>52.05</v>
      </c>
      <c r="J174" s="2" t="inlineStr">
        <is>
          <t>filled</t>
        </is>
      </c>
      <c r="K174" s="5" t="n">
        <v>52.02999999999999</v>
      </c>
      <c r="L174" s="5" t="n"/>
      <c r="M174" s="11" t="n"/>
      <c r="N174" s="10">
        <f>IFERROR(G174*IF(K174&lt;&gt;"",K174,I174),"")</f>
        <v/>
      </c>
      <c r="O174" s="2" t="inlineStr">
        <is>
          <t>fund-lc-2026-10-30-CSX-rebalance</t>
        </is>
      </c>
    </row>
    <row r="175">
      <c r="A175" s="2" t="inlineStr">
        <is>
          <t>2026-10-28</t>
        </is>
      </c>
      <c r="B175" s="2" t="inlineStr">
        <is>
          <t>2026-10-30</t>
        </is>
      </c>
      <c r="C175" s="2" t="inlineStr">
        <is>
          <t>SPY</t>
        </is>
      </c>
      <c r="D175" s="2" t="inlineStr">
        <is>
          <t>rebalance</t>
        </is>
      </c>
      <c r="E175" s="2" t="inlineStr">
        <is>
          <t>buy</t>
        </is>
      </c>
      <c r="F175" s="10" t="n">
        <v>22</v>
      </c>
      <c r="G175" s="10" t="n">
        <v>22</v>
      </c>
      <c r="H175" s="2" t="inlineStr">
        <is>
          <t>market, last minute before the close (lifecycle)</t>
        </is>
      </c>
      <c r="I175" s="5" t="n">
        <v>754.75</v>
      </c>
      <c r="J175" s="2" t="inlineStr">
        <is>
          <t>filled</t>
        </is>
      </c>
      <c r="K175" s="5" t="n">
        <v>755.3745450000001</v>
      </c>
      <c r="L175" s="5" t="n"/>
      <c r="M175" s="11" t="n"/>
      <c r="N175" s="10">
        <f>IFERROR(G175*IF(K175&lt;&gt;"",K175,I175),"")</f>
        <v/>
      </c>
      <c r="O175" s="2" t="inlineStr">
        <is>
          <t>fund-lc-2026-10-30-SPY-rebalance</t>
        </is>
      </c>
    </row>
    <row r="176">
      <c r="A176" s="2" t="inlineStr">
        <is>
          <t>2026-10-28</t>
        </is>
      </c>
      <c r="B176" s="2" t="inlineStr">
        <is>
          <t>2026-10-30</t>
        </is>
      </c>
      <c r="C176" s="2" t="inlineStr">
        <is>
          <t>TSLA</t>
        </is>
      </c>
      <c r="D176" s="2" t="inlineStr">
        <is>
          <t>close</t>
        </is>
      </c>
      <c r="E176" s="2" t="inlineStr">
        <is>
          <t>sell</t>
        </is>
      </c>
      <c r="F176" s="10" t="n">
        <v>20</v>
      </c>
      <c r="G176" s="10" t="n">
        <v>20</v>
      </c>
      <c r="H176" s="2" t="inlineStr">
        <is>
          <t>market, last minute before the close (lifecycle)</t>
        </is>
      </c>
      <c r="I176" s="5" t="n">
        <v>399.3</v>
      </c>
      <c r="J176" s="2" t="inlineStr">
        <is>
          <t>filled</t>
        </is>
      </c>
      <c r="K176" s="5" t="n">
        <v>399.871</v>
      </c>
      <c r="L176" s="5" t="n"/>
      <c r="M176" s="11" t="n"/>
      <c r="N176" s="10">
        <f>IFERROR(G176*IF(K176&lt;&gt;"",K176,I176),"")</f>
        <v/>
      </c>
      <c r="O176" s="2" t="inlineStr">
        <is>
          <t>fund-lc-2026-10-30-TSLA-close</t>
        </is>
      </c>
    </row>
  </sheetData>
  <autoFilter ref="A1:O17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60585.62080208403</v>
      </c>
      <c r="D16" s="7">
        <f>IF(C15&gt;0,(B16-B15)/C15,"")</f>
        <v/>
      </c>
      <c r="E16" s="3">
        <f>B16-$B$2</f>
        <v/>
      </c>
      <c r="F16" s="7">
        <f>IF(C16&gt;0,E16/C16,"")</f>
        <v/>
      </c>
    </row>
    <row r="17">
      <c r="A17" s="2" t="inlineStr">
        <is>
          <t>2026-10-22</t>
        </is>
      </c>
      <c r="B17" s="12" t="n">
        <v>98528.21000000001</v>
      </c>
      <c r="C17" s="12" t="n">
        <v>105944.6850157938</v>
      </c>
      <c r="D17" s="7">
        <f>IF(C16&gt;0,(B17-B16)/C16,"")</f>
        <v/>
      </c>
      <c r="E17" s="3">
        <f>B17-$B$2</f>
        <v/>
      </c>
      <c r="F17" s="7">
        <f>IF(C17&gt;0,E17/C17,"")</f>
        <v/>
      </c>
    </row>
    <row r="18">
      <c r="A18" s="2" t="inlineStr">
        <is>
          <t>2026-10-23</t>
        </is>
      </c>
      <c r="B18" s="12" t="n">
        <v>97134.66</v>
      </c>
      <c r="C18" s="12" t="n">
        <v>98869.14501379384</v>
      </c>
      <c r="D18" s="7">
        <f>IF(C17&gt;0,(B18-B17)/C17,"")</f>
        <v/>
      </c>
      <c r="E18" s="3">
        <f>B18-$B$2</f>
        <v/>
      </c>
      <c r="F18" s="7">
        <f>IF(C18&gt;0,E18/C18,"")</f>
        <v/>
      </c>
    </row>
    <row r="19">
      <c r="A19" s="2" t="inlineStr">
        <is>
          <t>2026-10-24</t>
        </is>
      </c>
      <c r="B19" s="12" t="n">
        <v>97550.24000000001</v>
      </c>
      <c r="C19" s="12" t="n">
        <v>98869.14501379384</v>
      </c>
      <c r="D19" s="7">
        <f>IF(C18&gt;0,(B19-B18)/C18,"")</f>
        <v/>
      </c>
      <c r="E19" s="3">
        <f>B19-$B$2</f>
        <v/>
      </c>
      <c r="F19" s="7">
        <f>IF(C19&gt;0,E19/C19,"")</f>
        <v/>
      </c>
    </row>
    <row r="20">
      <c r="A20" s="2" t="inlineStr">
        <is>
          <t>2026-10-27</t>
        </is>
      </c>
      <c r="B20" s="12" t="n">
        <v>97728.81</v>
      </c>
      <c r="C20" s="12" t="n">
        <v>63615.08500957314</v>
      </c>
      <c r="D20" s="7">
        <f>IF(C19&gt;0,(B20-B19)/C19,"")</f>
        <v/>
      </c>
      <c r="E20" s="3">
        <f>B20-$B$2</f>
        <v/>
      </c>
      <c r="F20" s="7">
        <f>IF(C20&gt;0,E20/C20,"")</f>
        <v/>
      </c>
    </row>
    <row r="21">
      <c r="A21" s="2" t="inlineStr">
        <is>
          <t>2026-10-28</t>
        </is>
      </c>
      <c r="B21" s="12" t="n">
        <v>99040.77</v>
      </c>
      <c r="C21" s="12" t="n">
        <v>63615.08500957314</v>
      </c>
      <c r="D21" s="7">
        <f>IF(C20&gt;0,(B21-B20)/C20,"")</f>
        <v/>
      </c>
      <c r="E21" s="3">
        <f>B21-$B$2</f>
        <v/>
      </c>
      <c r="F21" s="7">
        <f>IF(C21&gt;0,E21/C21,"")</f>
        <v/>
      </c>
    </row>
    <row r="22">
      <c r="A22" s="2" t="inlineStr">
        <is>
          <t>2026-10-29</t>
        </is>
      </c>
      <c r="B22" s="12" t="n">
        <v>99075.08</v>
      </c>
      <c r="C22" s="12" t="n">
        <v>108535.1907305731</v>
      </c>
      <c r="D22" s="7">
        <f>IF(C21&gt;0,(B22-B21)/C21,"")</f>
        <v/>
      </c>
      <c r="E22" s="3">
        <f>B22-$B$2</f>
        <v/>
      </c>
      <c r="F22" s="7">
        <f>IF(C22&gt;0,E22/C22,"")</f>
        <v/>
      </c>
    </row>
    <row r="23">
      <c r="A23" s="2" t="inlineStr">
        <is>
          <t>2026-10-30</t>
        </is>
      </c>
      <c r="B23" s="12" t="n">
        <v>98257.85000000001</v>
      </c>
      <c r="C23" s="12" t="n">
        <v>101052.2707265731</v>
      </c>
      <c r="D23" s="7">
        <f>IF(C22&gt;0,(B23-B22)/C22,"")</f>
        <v/>
      </c>
      <c r="E23" s="3">
        <f>B23-$B$2</f>
        <v/>
      </c>
      <c r="F23" s="7">
        <f>IF(C23&gt;0,E23/C23,"")</f>
        <v/>
      </c>
    </row>
    <row r="24">
      <c r="A24" s="2" t="inlineStr">
        <is>
          <t>2026-10-31</t>
        </is>
      </c>
      <c r="B24" s="12" t="n">
        <v>98075.35000000001</v>
      </c>
      <c r="C24" s="12" t="n">
        <v>101052.2707265731</v>
      </c>
      <c r="D24" s="7">
        <f>IF(C23&gt;0,(B24-B23)/C23,"")</f>
        <v/>
      </c>
      <c r="E24" s="3">
        <f>B24-$B$2</f>
        <v/>
      </c>
      <c r="F24" s="7">
        <f>IF(C24&gt;0,E24/C24,"")</f>
        <v/>
      </c>
    </row>
  </sheetData>
  <autoFilter ref="A1:F2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row r="30">
      <c r="A30" s="2" t="inlineStr">
        <is>
          <t>2026-10-27</t>
        </is>
      </c>
      <c r="B30" s="2" t="inlineStr">
        <is>
          <t>FEE</t>
        </is>
      </c>
      <c r="C30" s="2" t="n"/>
      <c r="D30" s="10" t="n"/>
      <c r="E30" s="13" t="n"/>
      <c r="F30" s="3" t="n">
        <v>-0.39</v>
      </c>
    </row>
    <row r="31">
      <c r="A31" s="2" t="inlineStr">
        <is>
          <t>2026-10-27</t>
        </is>
      </c>
      <c r="B31" s="2" t="inlineStr">
        <is>
          <t>FEE</t>
        </is>
      </c>
      <c r="C31" s="2" t="n"/>
      <c r="D31" s="10" t="n"/>
      <c r="E31" s="13" t="n"/>
      <c r="F31" s="3" t="n">
        <v>-0.01</v>
      </c>
    </row>
    <row r="32">
      <c r="A32" s="2" t="inlineStr">
        <is>
          <t>2026-10-29</t>
        </is>
      </c>
      <c r="B32" s="2" t="inlineStr">
        <is>
          <t>FEE</t>
        </is>
      </c>
      <c r="C32" s="2" t="n"/>
      <c r="D32" s="10" t="n"/>
      <c r="E32" s="13" t="n"/>
      <c r="F32" s="3" t="n">
        <v>-0.01</v>
      </c>
    </row>
    <row r="33">
      <c r="A33" s="2" t="inlineStr">
        <is>
          <t>2026-10-29</t>
        </is>
      </c>
      <c r="B33" s="2" t="inlineStr">
        <is>
          <t>FEE</t>
        </is>
      </c>
      <c r="C33" s="2" t="n"/>
      <c r="D33" s="10" t="n"/>
      <c r="E33" s="13" t="n"/>
      <c r="F33" s="3" t="n">
        <v>-0.64</v>
      </c>
    </row>
    <row r="34">
      <c r="A34" s="2" t="inlineStr">
        <is>
          <t>2026-10-29</t>
        </is>
      </c>
      <c r="B34" s="2" t="inlineStr">
        <is>
          <t>DIV</t>
        </is>
      </c>
      <c r="C34" s="2" t="inlineStr">
        <is>
          <t>MRVL</t>
        </is>
      </c>
      <c r="D34" s="10" t="n"/>
      <c r="E34" s="13" t="n">
        <v>0.06</v>
      </c>
      <c r="F34" s="3" t="n">
        <v>1.38</v>
      </c>
    </row>
    <row r="35">
      <c r="A35" s="2" t="inlineStr">
        <is>
          <t>2026-10-30</t>
        </is>
      </c>
      <c r="B35" s="2" t="inlineStr">
        <is>
          <t>FEE</t>
        </is>
      </c>
      <c r="C35" s="2" t="n"/>
      <c r="D35" s="10" t="n"/>
      <c r="E35" s="13" t="n"/>
      <c r="F35" s="3" t="n">
        <v>-0.01</v>
      </c>
    </row>
    <row r="36">
      <c r="A36" s="2" t="inlineStr">
        <is>
          <t>2026-10-30</t>
        </is>
      </c>
      <c r="B36" s="2" t="inlineStr">
        <is>
          <t>FEE</t>
        </is>
      </c>
      <c r="C36" s="2" t="n"/>
      <c r="D36" s="10" t="n"/>
      <c r="E36" s="13" t="n"/>
      <c r="F36" s="3" t="n">
        <v>-0.33</v>
      </c>
    </row>
  </sheetData>
  <autoFilter ref="A1:F3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2026-10-31T14:15:20Z</dcterms:created>
  <dcterms:modified xmlns:dcterms="http://purl.org/dc/terms/" xmlns:xsi="http://www.w3.org/2001/XMLSchema-instance" xsi:type="dcterms:W3CDTF">2026-10-31T14:15:27Z</dcterms:modified>
</cp:coreProperties>
</file>