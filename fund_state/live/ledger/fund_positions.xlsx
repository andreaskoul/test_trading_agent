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'Orders'!$A$1:$O$90</definedName>
    <definedName name="_xlnm._FilterDatabase" localSheetId="5" hidden="1">'Account'!$A$1:$F$13</definedName>
    <definedName name="_xlnm._FilterDatabase" localSheetId="6" hidden="1">'Cash activity'!$A$1:$F$16</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2026-10-19 13:45 ET)</t>
        </is>
      </c>
      <c r="B2" s="3" t="n">
        <v>98382.6914</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-1599.7686</v>
      </c>
    </row>
    <row r="7">
      <c r="A7" s="2" t="inlineStr">
        <is>
          <t>Dividends, fees &amp; interest</t>
        </is>
      </c>
      <c r="B7" s="3" t="n">
        <v>-2.28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539.9519</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50.47</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242.36</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75.27</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55.995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336.1</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23.185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238.37</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533.88</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69.62</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37.065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217.28</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71.91</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130.035</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32.135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165.34</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368.68</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316.04</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767.21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910.88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903.8099999999999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903.8099999999999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69.625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96.78</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131.12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767.21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767.21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767.21</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767.21</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540.1900000000001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540.1900000000001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335.375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335.375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335.375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191.24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263.94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344.4</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55.97</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842.705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1248.24</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238.46</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217.315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217.315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96.78</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243.04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701.26</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37.06</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132.95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132.95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1373.13</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1373.13</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657.39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346.835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335.375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191.24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532.005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263.94</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344.4</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842.705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1248.24</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96.78</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243.04</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701.26</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132.95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1373.13</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767.21</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657.39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346.835</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540.1900000000001</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55.97</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238.46</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37.06</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217.315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50.475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242.37</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75.19</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336.1</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23.185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533.885</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69.625</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71.92</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129.99</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32.125</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165.32</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368.71</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316.04</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sheetData>
  <autoFilter ref="A1:O9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54738.38526770313</v>
      </c>
      <c r="D12" s="7">
        <f>IF(C11&gt;0,(B12-B11)/C11,"")</f>
        <v/>
      </c>
      <c r="E12" s="3">
        <f>B12-$B$2</f>
        <v/>
      </c>
      <c r="F12" s="7">
        <f>IF(C12&gt;0,E12/C12,"")</f>
        <v/>
      </c>
    </row>
    <row r="13">
      <c r="A13" s="2" t="inlineStr">
        <is>
          <t>2026-10-16</t>
        </is>
      </c>
      <c r="B13" s="12" t="n">
        <v>98144.96000000001</v>
      </c>
      <c r="C13" s="12" t="n">
        <v>54738.38526770313</v>
      </c>
      <c r="D13" s="7">
        <f>IF(C12&gt;0,(B13-B12)/C12,"")</f>
        <v/>
      </c>
      <c r="E13" s="3">
        <f>B13-$B$2</f>
        <v/>
      </c>
      <c r="F13" s="7">
        <f>IF(C13&gt;0,E13/C13,"")</f>
        <v/>
      </c>
    </row>
  </sheetData>
  <autoFilter ref="A1:F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sheetData>
  <autoFilter ref="A1:F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2026-10-19T17:45:43Z</dcterms:created>
  <dcterms:modified xmlns:dcterms="http://purl.org/dc/terms/" xmlns:xsi="http://www.w3.org/2001/XMLSchema-instance" xsi:type="dcterms:W3CDTF">2026-10-19T17:45:48Z</dcterms:modified>
</cp:coreProperties>
</file>