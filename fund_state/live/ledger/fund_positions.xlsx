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'Orders'!$A$1:$O$92</definedName>
    <definedName name="_xlnm._FilterDatabase" localSheetId="5" hidden="1">'Account'!$A$1:$F$14</definedName>
    <definedName name="_xlnm._FilterDatabase" localSheetId="6" hidden="1">'Cash activity'!$A$1:$F$17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2026-10-20 09:46 ET)</t>
        </is>
      </c>
      <c r="B2" s="3" t="n">
        <v>97937.97779999999</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-2044.392200000003</v>
      </c>
    </row>
    <row r="7">
      <c r="A7" s="2" t="inlineStr">
        <is>
          <t>Dividends, fees &amp; interest</t>
        </is>
      </c>
      <c r="B7" s="3" t="n">
        <v>-2.37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528.175</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50.695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240.685</v>
      </c>
      <c r="H4" s="6">
        <f>D4*G4</f>
        <v/>
      </c>
      <c r="I4" s="3">
        <f>D4*(G4-F4)</f>
        <v/>
      </c>
      <c r="J4" s="7">
        <f>IF(D4&gt;0,1,-1)*(G4/F4-1)</f>
        <v/>
      </c>
    </row>
    <row r="5">
      <c r="A5" s="2" t="inlineStr">
        <is>
          <t>DAL</t>
        </is>
      </c>
      <c r="B5" s="2" t="inlineStr">
        <is>
          <t>DAL</t>
        </is>
      </c>
      <c r="C5" s="2" t="inlineStr">
        <is>
          <t>Short</t>
        </is>
      </c>
      <c r="D5" s="4" t="n">
        <v>-95</v>
      </c>
      <c r="E5" s="2" t="inlineStr">
        <is>
          <t>2026-10-15</t>
        </is>
      </c>
      <c r="F5" s="5" t="n">
        <v>76.79842105263157</v>
      </c>
      <c r="G5" s="5" t="n">
        <v>75.03</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54.49</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337.06</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23.59</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228.5</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526.61</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69.84</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37.3292</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213.4912</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71.81999999999999</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128.195</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31.1</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166.45</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365.56</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317.19</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764.965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881.92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891.9349999999999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891.9349999999999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69.83</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537.2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97.95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132.84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764.965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764.965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764.965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764.965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527.87</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527.87</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333.175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333.175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333.175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190.49</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258.3</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342.07</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54.47</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798.6</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228.28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213.49</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213.49</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537.2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97.95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246.005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684.6849999999999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37.33</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133.785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133.785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1351.17</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1351.17</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652.72</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348.55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333.175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190.49</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537.2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258.3</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342.07</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798.6</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1299</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97.95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246.005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684.36</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133.785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1351.17</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764.965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652.72</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348.29</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527.87</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54.465</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228.49</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37.325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213.5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-68</v>
      </c>
      <c r="J59" s="5" t="n">
        <v>51.19367658823529</v>
      </c>
      <c r="K59" s="5" t="n"/>
      <c r="L59" s="5" t="n">
        <v>50.705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240.655</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-95</v>
      </c>
      <c r="J61" s="5" t="n">
        <v>76.79842105263158</v>
      </c>
      <c r="K61" s="5" t="n"/>
      <c r="L61" s="5" t="n">
        <v>75.06</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337.14</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23.58</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526.4349999999999</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69.83</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71.72</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128.22</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31.11</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166.48</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365.55</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316.61</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sheetData>
  <autoFilter ref="A1:O9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58556.64527570313</v>
      </c>
      <c r="D12" s="7">
        <f>IF(C11&gt;0,(B12-B11)/C11,"")</f>
        <v/>
      </c>
      <c r="E12" s="3">
        <f>B12-$B$2</f>
        <v/>
      </c>
      <c r="F12" s="7">
        <f>IF(C12&gt;0,E12/C12,"")</f>
        <v/>
      </c>
    </row>
    <row r="13">
      <c r="A13" s="2" t="inlineStr">
        <is>
          <t>2026-10-16</t>
        </is>
      </c>
      <c r="B13" s="12" t="n">
        <v>98144.96000000001</v>
      </c>
      <c r="C13" s="12" t="n">
        <v>58556.64527570313</v>
      </c>
      <c r="D13" s="7">
        <f>IF(C12&gt;0,(B13-B12)/C12,"")</f>
        <v/>
      </c>
      <c r="E13" s="3">
        <f>B13-$B$2</f>
        <v/>
      </c>
      <c r="F13" s="7">
        <f>IF(C13&gt;0,E13/C13,"")</f>
        <v/>
      </c>
    </row>
    <row r="14">
      <c r="A14" s="2" t="inlineStr">
        <is>
          <t>2026-10-17</t>
        </is>
      </c>
      <c r="B14" s="12" t="n">
        <v>97920.66</v>
      </c>
      <c r="C14" s="12" t="n">
        <v>58556.64527570313</v>
      </c>
      <c r="D14" s="7">
        <f>IF(C13&gt;0,(B14-B13)/C13,"")</f>
        <v/>
      </c>
      <c r="E14" s="3">
        <f>B14-$B$2</f>
        <v/>
      </c>
      <c r="F14" s="7">
        <f>IF(C14&gt;0,E14/C14,"")</f>
        <v/>
      </c>
    </row>
  </sheetData>
  <autoFilter ref="A1:F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sheetData>
  <autoFilter ref="A1:F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2026-10-20T13:45:54Z</dcterms:created>
  <dcterms:modified xmlns:dcterms="http://purl.org/dc/terms/" xmlns:xsi="http://www.w3.org/2001/XMLSchema-instance" xsi:type="dcterms:W3CDTF">2026-10-20T13:46:01Z</dcterms:modified>
</cp:coreProperties>
</file>