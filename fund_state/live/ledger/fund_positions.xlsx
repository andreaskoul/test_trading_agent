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'Orders'!$A$1:$O$90</definedName>
    <definedName name="_xlnm._FilterDatabase" localSheetId="5" hidden="1">'Account'!$A$1:$F$13</definedName>
    <definedName name="_xlnm._FilterDatabase" localSheetId="6" hidden="1">'Cash activity'!$A$1:$F$16</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2026-10-19 13:09 ET)</t>
        </is>
      </c>
      <c r="B2" s="3" t="n">
        <v>98465.4945</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-1516.9655</v>
      </c>
    </row>
    <row r="7">
      <c r="A7" s="2" t="inlineStr">
        <is>
          <t>Dividends, fees &amp; interest</t>
        </is>
      </c>
      <c r="B7" s="3" t="n">
        <v>-2.28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543.395</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50.42</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240.435</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75.065</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56.23</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336.34</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23.295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241.3</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533.1</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69.485</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36.995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218.0595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71.95</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129.675</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32.35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165.695</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368.58</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316.16</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767.22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916.76</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907.5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907.5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69.465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531.04</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96.67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130.345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767.22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767.22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767.22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767.22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543.73</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543.73</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336.77</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336.77</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336.77</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190.815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264.835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344.265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56.27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853.22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1249.305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241.565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218.025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218.025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531.04</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96.67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242.815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700.42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36.995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132.645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132.645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1378.47</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1378.47</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659.26</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347.95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336.77</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190.815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531.04</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264.835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344.255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853.22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1249.305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96.67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242.815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700.42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132.625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1378.47</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767.22</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659.26</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347.95</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543.73</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56.27</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241.565</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36.995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218.025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50.42</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240.435</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75.06</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336.35</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23.295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532.985</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69.47</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71.97499999999999</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129.72</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32.35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165.68</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368.36</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316.235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sheetData>
  <autoFilter ref="A1:O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54738.38526770313</v>
      </c>
      <c r="D12" s="7">
        <f>IF(C11&gt;0,(B12-B11)/C11,"")</f>
        <v/>
      </c>
      <c r="E12" s="3">
        <f>B12-$B$2</f>
        <v/>
      </c>
      <c r="F12" s="7">
        <f>IF(C12&gt;0,E12/C12,"")</f>
        <v/>
      </c>
    </row>
    <row r="13">
      <c r="A13" s="2" t="inlineStr">
        <is>
          <t>2026-10-16</t>
        </is>
      </c>
      <c r="B13" s="12" t="n">
        <v>98144.96000000001</v>
      </c>
      <c r="C13" s="12" t="n">
        <v>54738.38526770313</v>
      </c>
      <c r="D13" s="7">
        <f>IF(C12&gt;0,(B13-B12)/C12,"")</f>
        <v/>
      </c>
      <c r="E13" s="3">
        <f>B13-$B$2</f>
        <v/>
      </c>
      <c r="F13" s="7">
        <f>IF(C13&gt;0,E13/C13,"")</f>
        <v/>
      </c>
    </row>
  </sheetData>
  <autoFilter ref="A1:F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sheetData>
  <autoFilter ref="A1:F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2026-10-19T17:09:08Z</dcterms:created>
  <dcterms:modified xmlns:dcterms="http://purl.org/dc/terms/" xmlns:xsi="http://www.w3.org/2001/XMLSchema-instance" xsi:type="dcterms:W3CDTF">2026-10-19T17:09:14Z</dcterms:modified>
</cp:coreProperties>
</file>