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positions'!$A$1:$J$22</definedName>
    <definedName name="_xlnm._FilterDatabase" localSheetId="2" hidden="1">'Realized trades'!$A$1:$H$68</definedName>
    <definedName name="_xlnm._FilterDatabase" localSheetId="3" hidden="1">'Positions'!$A$1:$Q$103</definedName>
    <definedName name="_xlnm._FilterDatabase" localSheetId="4" hidden="1">'Orders'!$A$1:$O$171</definedName>
    <definedName name="_xlnm._FilterDatabase" localSheetId="5" hidden="1">'Account'!$A$1:$F$22</definedName>
    <definedName name="_xlnm._FilterDatabase" localSheetId="6" hidden="1">'Cash activity'!$A$1:$F$31</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2026-10-30 11:16 ET)</t>
        </is>
      </c>
      <c r="B2" s="3" t="n">
        <v>97695.65640000001</v>
      </c>
    </row>
    <row r="3">
      <c r="A3" s="2" t="inlineStr">
        <is>
          <t>Net deposits</t>
        </is>
      </c>
      <c r="B3" s="3" t="n">
        <v>100000</v>
      </c>
    </row>
    <row r="4">
      <c r="A4" s="2" t="inlineStr">
        <is>
          <t>Account P&amp;L</t>
        </is>
      </c>
      <c r="B4" s="3">
        <f>B2-B3</f>
        <v/>
      </c>
    </row>
    <row r="5">
      <c r="A5" s="2" t="inlineStr">
        <is>
          <t>Realized P&amp;L (closed shares, FIFO)</t>
        </is>
      </c>
      <c r="B5" s="3" t="n">
        <v>-2968.819999999993</v>
      </c>
    </row>
    <row r="6">
      <c r="A6" s="2" t="inlineStr">
        <is>
          <t>Unrealized P&amp;L (open shares at Alpaca marks)</t>
        </is>
      </c>
      <c r="B6" s="3" t="n">
        <v>668.496399999995</v>
      </c>
    </row>
    <row r="7">
      <c r="A7" s="2" t="inlineStr">
        <is>
          <t>Dividends, fees &amp; interest</t>
        </is>
      </c>
      <c r="B7" s="3" t="n">
        <v>-4.019999999999998</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AAPL</t>
        </is>
      </c>
      <c r="B2" s="2" t="inlineStr">
        <is>
          <t>AAPL</t>
        </is>
      </c>
      <c r="C2" s="2" t="inlineStr">
        <is>
          <t>Short</t>
        </is>
      </c>
      <c r="D2" s="4" t="n">
        <v>-7</v>
      </c>
      <c r="E2" s="2" t="inlineStr">
        <is>
          <t>2026-10-22</t>
        </is>
      </c>
      <c r="F2" s="5" t="n">
        <v>348.1885714285714</v>
      </c>
      <c r="G2" s="5" t="n">
        <v>347.51</v>
      </c>
      <c r="H2" s="6">
        <f>D2*G2</f>
        <v/>
      </c>
      <c r="I2" s="3">
        <f>D2*(G2-F2)</f>
        <v/>
      </c>
      <c r="J2" s="7">
        <f>IF(D2&gt;0,1,-1)*(G2/F2-1)</f>
        <v/>
      </c>
    </row>
    <row r="3">
      <c r="A3" s="2" t="inlineStr">
        <is>
          <t>AVGO</t>
        </is>
      </c>
      <c r="B3" s="2" t="inlineStr">
        <is>
          <t>AVGO</t>
        </is>
      </c>
      <c r="C3" s="2" t="inlineStr">
        <is>
          <t>Long</t>
        </is>
      </c>
      <c r="D3" s="4" t="n">
        <v>8</v>
      </c>
      <c r="E3" s="2" t="inlineStr">
        <is>
          <t>2026-10-29</t>
        </is>
      </c>
      <c r="F3" s="5" t="n">
        <v>344.98</v>
      </c>
      <c r="G3" s="5" t="n">
        <v>326.6947</v>
      </c>
      <c r="H3" s="6">
        <f>D3*G3</f>
        <v/>
      </c>
      <c r="I3" s="3">
        <f>D3*(G3-F3)</f>
        <v/>
      </c>
      <c r="J3" s="7">
        <f>IF(D3&gt;0,1,-1)*(G3/F3-1)</f>
        <v/>
      </c>
    </row>
    <row r="4">
      <c r="A4" s="2" t="inlineStr">
        <is>
          <t>BA</t>
        </is>
      </c>
      <c r="B4" s="2" t="inlineStr">
        <is>
          <t>BA</t>
        </is>
      </c>
      <c r="C4" s="2" t="inlineStr">
        <is>
          <t>Short</t>
        </is>
      </c>
      <c r="D4" s="4" t="n">
        <v>-16</v>
      </c>
      <c r="E4" s="2" t="inlineStr">
        <is>
          <t>2026-10-29</t>
        </is>
      </c>
      <c r="F4" s="5" t="n">
        <v>172.82</v>
      </c>
      <c r="G4" s="5" t="n">
        <v>171.88</v>
      </c>
      <c r="H4" s="6">
        <f>D4*G4</f>
        <v/>
      </c>
      <c r="I4" s="3">
        <f>D4*(G4-F4)</f>
        <v/>
      </c>
      <c r="J4" s="7">
        <f>IF(D4&gt;0,1,-1)*(G4/F4-1)</f>
        <v/>
      </c>
    </row>
    <row r="5">
      <c r="A5" s="2" t="inlineStr">
        <is>
          <t>BIIB</t>
        </is>
      </c>
      <c r="B5" s="2" t="inlineStr">
        <is>
          <t>BIIB</t>
        </is>
      </c>
      <c r="C5" s="2" t="inlineStr">
        <is>
          <t>Long</t>
        </is>
      </c>
      <c r="D5" s="4" t="n">
        <v>21</v>
      </c>
      <c r="E5" s="2" t="inlineStr">
        <is>
          <t>2026-10-29</t>
        </is>
      </c>
      <c r="F5" s="5" t="n">
        <v>249.94</v>
      </c>
      <c r="G5" s="5" t="n">
        <v>252.435</v>
      </c>
      <c r="H5" s="6">
        <f>D5*G5</f>
        <v/>
      </c>
      <c r="I5" s="3">
        <f>D5*(G5-F5)</f>
        <v/>
      </c>
      <c r="J5" s="7">
        <f>IF(D5&gt;0,1,-1)*(G5/F5-1)</f>
        <v/>
      </c>
    </row>
    <row r="6">
      <c r="A6" s="2" t="inlineStr">
        <is>
          <t>BRO</t>
        </is>
      </c>
      <c r="B6" s="2" t="inlineStr">
        <is>
          <t>BRO</t>
        </is>
      </c>
      <c r="C6" s="2" t="inlineStr">
        <is>
          <t>Short</t>
        </is>
      </c>
      <c r="D6" s="4" t="n">
        <v>-43</v>
      </c>
      <c r="E6" s="2" t="inlineStr">
        <is>
          <t>2026-10-29</t>
        </is>
      </c>
      <c r="F6" s="5" t="n">
        <v>67.88</v>
      </c>
      <c r="G6" s="5" t="n">
        <v>68.44</v>
      </c>
      <c r="H6" s="6">
        <f>D6*G6</f>
        <v/>
      </c>
      <c r="I6" s="3">
        <f>D6*(G6-F6)</f>
        <v/>
      </c>
      <c r="J6" s="7">
        <f>IF(D6&gt;0,1,-1)*(G6/F6-1)</f>
        <v/>
      </c>
    </row>
    <row r="7">
      <c r="A7" s="2" t="inlineStr">
        <is>
          <t>BSX</t>
        </is>
      </c>
      <c r="B7" s="2" t="inlineStr">
        <is>
          <t>BSX</t>
        </is>
      </c>
      <c r="C7" s="2" t="inlineStr">
        <is>
          <t>Short</t>
        </is>
      </c>
      <c r="D7" s="4" t="n">
        <v>-138</v>
      </c>
      <c r="E7" s="2" t="inlineStr">
        <is>
          <t>2026-10-29</t>
        </is>
      </c>
      <c r="F7" s="5" t="n">
        <v>42.69</v>
      </c>
      <c r="G7" s="5" t="n">
        <v>42.76</v>
      </c>
      <c r="H7" s="6">
        <f>D7*G7</f>
        <v/>
      </c>
      <c r="I7" s="3">
        <f>D7*(G7-F7)</f>
        <v/>
      </c>
      <c r="J7" s="7">
        <f>IF(D7&gt;0,1,-1)*(G7/F7-1)</f>
        <v/>
      </c>
    </row>
    <row r="8">
      <c r="A8" s="2" t="inlineStr">
        <is>
          <t>CDNS</t>
        </is>
      </c>
      <c r="B8" s="2" t="inlineStr">
        <is>
          <t>CDNS</t>
        </is>
      </c>
      <c r="C8" s="2" t="inlineStr">
        <is>
          <t>Long</t>
        </is>
      </c>
      <c r="D8" s="4" t="n">
        <v>8</v>
      </c>
      <c r="E8" s="2" t="inlineStr">
        <is>
          <t>2026-10-29</t>
        </is>
      </c>
      <c r="F8" s="5" t="n">
        <v>342.3000000000001</v>
      </c>
      <c r="G8" s="5" t="n">
        <v>330.29</v>
      </c>
      <c r="H8" s="6">
        <f>D8*G8</f>
        <v/>
      </c>
      <c r="I8" s="3">
        <f>D8*(G8-F8)</f>
        <v/>
      </c>
      <c r="J8" s="7">
        <f>IF(D8&gt;0,1,-1)*(G8/F8-1)</f>
        <v/>
      </c>
    </row>
    <row r="9">
      <c r="A9" s="2" t="inlineStr">
        <is>
          <t>CRL</t>
        </is>
      </c>
      <c r="B9" s="2" t="inlineStr">
        <is>
          <t>CRL</t>
        </is>
      </c>
      <c r="C9" s="2" t="inlineStr">
        <is>
          <t>Short</t>
        </is>
      </c>
      <c r="D9" s="4" t="n">
        <v>-7</v>
      </c>
      <c r="E9" s="2" t="inlineStr">
        <is>
          <t>2026-10-29</t>
        </is>
      </c>
      <c r="F9" s="5" t="n">
        <v>375.7485714285714</v>
      </c>
      <c r="G9" s="5" t="n">
        <v>359.73</v>
      </c>
      <c r="H9" s="6">
        <f>D9*G9</f>
        <v/>
      </c>
      <c r="I9" s="3">
        <f>D9*(G9-F9)</f>
        <v/>
      </c>
      <c r="J9" s="7">
        <f>IF(D9&gt;0,1,-1)*(G9/F9-1)</f>
        <v/>
      </c>
    </row>
    <row r="10">
      <c r="A10" s="2" t="inlineStr">
        <is>
          <t>CSX</t>
        </is>
      </c>
      <c r="B10" s="2" t="inlineStr">
        <is>
          <t>CSX</t>
        </is>
      </c>
      <c r="C10" s="2" t="inlineStr">
        <is>
          <t>Long</t>
        </is>
      </c>
      <c r="D10" s="4" t="n">
        <v>175</v>
      </c>
      <c r="E10" s="2" t="inlineStr">
        <is>
          <t>2026-10-22</t>
        </is>
      </c>
      <c r="F10" s="5" t="n">
        <v>51.40897142857144</v>
      </c>
      <c r="G10" s="5" t="n">
        <v>51.455</v>
      </c>
      <c r="H10" s="6">
        <f>D10*G10</f>
        <v/>
      </c>
      <c r="I10" s="3">
        <f>D10*(G10-F10)</f>
        <v/>
      </c>
      <c r="J10" s="7">
        <f>IF(D10&gt;0,1,-1)*(G10/F10-1)</f>
        <v/>
      </c>
    </row>
    <row r="11">
      <c r="A11" s="2" t="inlineStr">
        <is>
          <t>EQIX</t>
        </is>
      </c>
      <c r="B11" s="2" t="inlineStr">
        <is>
          <t>EQIX</t>
        </is>
      </c>
      <c r="C11" s="2" t="inlineStr">
        <is>
          <t>Long</t>
        </is>
      </c>
      <c r="D11" s="4" t="n">
        <v>6</v>
      </c>
      <c r="E11" s="2" t="inlineStr">
        <is>
          <t>2026-10-29</t>
        </is>
      </c>
      <c r="F11" s="5" t="n">
        <v>1036.32</v>
      </c>
      <c r="G11" s="5" t="n">
        <v>1022.165</v>
      </c>
      <c r="H11" s="6">
        <f>D11*G11</f>
        <v/>
      </c>
      <c r="I11" s="3">
        <f>D11*(G11-F11)</f>
        <v/>
      </c>
      <c r="J11" s="7">
        <f>IF(D11&gt;0,1,-1)*(G11/F11-1)</f>
        <v/>
      </c>
    </row>
    <row r="12">
      <c r="A12" s="2" t="inlineStr">
        <is>
          <t>GOOGL</t>
        </is>
      </c>
      <c r="B12" s="2" t="inlineStr">
        <is>
          <t>GOOGL</t>
        </is>
      </c>
      <c r="C12" s="2" t="inlineStr">
        <is>
          <t>Short</t>
        </is>
      </c>
      <c r="D12" s="4" t="n">
        <v>-21</v>
      </c>
      <c r="E12" s="2" t="inlineStr">
        <is>
          <t>2026-10-29</t>
        </is>
      </c>
      <c r="F12" s="5" t="n">
        <v>283.4557142857143</v>
      </c>
      <c r="G12" s="5" t="n">
        <v>282</v>
      </c>
      <c r="H12" s="6">
        <f>D12*G12</f>
        <v/>
      </c>
      <c r="I12" s="3">
        <f>D12*(G12-F12)</f>
        <v/>
      </c>
      <c r="J12" s="7">
        <f>IF(D12&gt;0,1,-1)*(G12/F12-1)</f>
        <v/>
      </c>
    </row>
    <row r="13">
      <c r="A13" s="2" t="inlineStr">
        <is>
          <t>HAS</t>
        </is>
      </c>
      <c r="B13" s="2" t="inlineStr">
        <is>
          <t>HAS</t>
        </is>
      </c>
      <c r="C13" s="2" t="inlineStr">
        <is>
          <t>Long</t>
        </is>
      </c>
      <c r="D13" s="4" t="n">
        <v>21</v>
      </c>
      <c r="E13" s="2" t="inlineStr">
        <is>
          <t>2026-10-22</t>
        </is>
      </c>
      <c r="F13" s="5" t="n">
        <v>117.22</v>
      </c>
      <c r="G13" s="5" t="n">
        <v>119.135</v>
      </c>
      <c r="H13" s="6">
        <f>D13*G13</f>
        <v/>
      </c>
      <c r="I13" s="3">
        <f>D13*(G13-F13)</f>
        <v/>
      </c>
      <c r="J13" s="7">
        <f>IF(D13&gt;0,1,-1)*(G13/F13-1)</f>
        <v/>
      </c>
    </row>
    <row r="14">
      <c r="A14" s="2" t="inlineStr">
        <is>
          <t>LH</t>
        </is>
      </c>
      <c r="B14" s="2" t="inlineStr">
        <is>
          <t>LH</t>
        </is>
      </c>
      <c r="C14" s="2" t="inlineStr">
        <is>
          <t>Long</t>
        </is>
      </c>
      <c r="D14" s="4" t="n">
        <v>6</v>
      </c>
      <c r="E14" s="2" t="inlineStr">
        <is>
          <t>2026-10-29</t>
        </is>
      </c>
      <c r="F14" s="5" t="n">
        <v>367.3500000000001</v>
      </c>
      <c r="G14" s="5" t="n">
        <v>361.3</v>
      </c>
      <c r="H14" s="6">
        <f>D14*G14</f>
        <v/>
      </c>
      <c r="I14" s="3">
        <f>D14*(G14-F14)</f>
        <v/>
      </c>
      <c r="J14" s="7">
        <f>IF(D14&gt;0,1,-1)*(G14/F14-1)</f>
        <v/>
      </c>
    </row>
    <row r="15">
      <c r="A15" s="2" t="inlineStr">
        <is>
          <t>MRNA</t>
        </is>
      </c>
      <c r="B15" s="2" t="inlineStr">
        <is>
          <t>MRNA</t>
        </is>
      </c>
      <c r="C15" s="2" t="inlineStr">
        <is>
          <t>Short</t>
        </is>
      </c>
      <c r="D15" s="4" t="n">
        <v>-12</v>
      </c>
      <c r="E15" s="2" t="inlineStr">
        <is>
          <t>2026-10-29</t>
        </is>
      </c>
      <c r="F15" s="5" t="n">
        <v>222.6091666666667</v>
      </c>
      <c r="G15" s="5" t="n">
        <v>224.2301</v>
      </c>
      <c r="H15" s="6">
        <f>D15*G15</f>
        <v/>
      </c>
      <c r="I15" s="3">
        <f>D15*(G15-F15)</f>
        <v/>
      </c>
      <c r="J15" s="7">
        <f>IF(D15&gt;0,1,-1)*(G15/F15-1)</f>
        <v/>
      </c>
    </row>
    <row r="16">
      <c r="A16" s="2" t="inlineStr">
        <is>
          <t>MSFT</t>
        </is>
      </c>
      <c r="B16" s="2" t="inlineStr">
        <is>
          <t>MSFT</t>
        </is>
      </c>
      <c r="C16" s="2" t="inlineStr">
        <is>
          <t>Long</t>
        </is>
      </c>
      <c r="D16" s="4" t="n">
        <v>10</v>
      </c>
      <c r="E16" s="2" t="inlineStr">
        <is>
          <t>2026-10-29</t>
        </is>
      </c>
      <c r="F16" s="5" t="n">
        <v>530.2380000000001</v>
      </c>
      <c r="G16" s="5" t="n">
        <v>522.105</v>
      </c>
      <c r="H16" s="6">
        <f>D16*G16</f>
        <v/>
      </c>
      <c r="I16" s="3">
        <f>D16*(G16-F16)</f>
        <v/>
      </c>
      <c r="J16" s="7">
        <f>IF(D16&gt;0,1,-1)*(G16/F16-1)</f>
        <v/>
      </c>
    </row>
    <row r="17">
      <c r="A17" s="2" t="inlineStr">
        <is>
          <t>NFLX</t>
        </is>
      </c>
      <c r="B17" s="2" t="inlineStr">
        <is>
          <t>NFLX</t>
        </is>
      </c>
      <c r="C17" s="2" t="inlineStr">
        <is>
          <t>Short</t>
        </is>
      </c>
      <c r="D17" s="4" t="n">
        <v>-67</v>
      </c>
      <c r="E17" s="2" t="inlineStr">
        <is>
          <t>2026-10-22</t>
        </is>
      </c>
      <c r="F17" s="5" t="n">
        <v>65.86089552238806</v>
      </c>
      <c r="G17" s="5" t="n">
        <v>62.49</v>
      </c>
      <c r="H17" s="6">
        <f>D17*G17</f>
        <v/>
      </c>
      <c r="I17" s="3">
        <f>D17*(G17-F17)</f>
        <v/>
      </c>
      <c r="J17" s="7">
        <f>IF(D17&gt;0,1,-1)*(G17/F17-1)</f>
        <v/>
      </c>
    </row>
    <row r="18">
      <c r="A18" s="2" t="inlineStr">
        <is>
          <t>ROL</t>
        </is>
      </c>
      <c r="B18" s="2" t="inlineStr">
        <is>
          <t>ROL</t>
        </is>
      </c>
      <c r="C18" s="2" t="inlineStr">
        <is>
          <t>Short</t>
        </is>
      </c>
      <c r="D18" s="4" t="n">
        <v>-283</v>
      </c>
      <c r="E18" s="2" t="inlineStr">
        <is>
          <t>2026-10-22</t>
        </is>
      </c>
      <c r="F18" s="5" t="n">
        <v>35.04272084805654</v>
      </c>
      <c r="G18" s="5" t="n">
        <v>34.79</v>
      </c>
      <c r="H18" s="6">
        <f>D18*G18</f>
        <v/>
      </c>
      <c r="I18" s="3">
        <f>D18*(G18-F18)</f>
        <v/>
      </c>
      <c r="J18" s="7">
        <f>IF(D18&gt;0,1,-1)*(G18/F18-1)</f>
        <v/>
      </c>
    </row>
    <row r="19">
      <c r="A19" s="2" t="inlineStr">
        <is>
          <t>SMCI</t>
        </is>
      </c>
      <c r="B19" s="2" t="inlineStr">
        <is>
          <t>SMCI</t>
        </is>
      </c>
      <c r="C19" s="2" t="inlineStr">
        <is>
          <t>Long</t>
        </is>
      </c>
      <c r="D19" s="4" t="n">
        <v>266</v>
      </c>
      <c r="E19" s="2" t="inlineStr">
        <is>
          <t>2026-10-22</t>
        </is>
      </c>
      <c r="F19" s="5" t="n">
        <v>33.4584962406015</v>
      </c>
      <c r="G19" s="5" t="n">
        <v>32.525</v>
      </c>
      <c r="H19" s="6">
        <f>D19*G19</f>
        <v/>
      </c>
      <c r="I19" s="3">
        <f>D19*(G19-F19)</f>
        <v/>
      </c>
      <c r="J19" s="7">
        <f>IF(D19&gt;0,1,-1)*(G19/F19-1)</f>
        <v/>
      </c>
    </row>
    <row r="20">
      <c r="A20" s="2" t="inlineStr">
        <is>
          <t>SPY</t>
        </is>
      </c>
      <c r="B20" s="2" t="inlineStr">
        <is>
          <t>SPDR S&amp;P 500 ETF</t>
        </is>
      </c>
      <c r="C20" s="2" t="inlineStr">
        <is>
          <t>Short</t>
        </is>
      </c>
      <c r="D20" s="4" t="n">
        <v>-44</v>
      </c>
      <c r="E20" s="2" t="inlineStr">
        <is>
          <t>2026-10-21</t>
        </is>
      </c>
      <c r="F20" s="5" t="n">
        <v>765.9302272727273</v>
      </c>
      <c r="G20" s="5" t="n">
        <v>758.58</v>
      </c>
      <c r="H20" s="6">
        <f>D20*G20</f>
        <v/>
      </c>
      <c r="I20" s="3">
        <f>D20*(G20-F20)</f>
        <v/>
      </c>
      <c r="J20" s="7">
        <f>IF(D20&gt;0,1,-1)*(G20/F20-1)</f>
        <v/>
      </c>
    </row>
    <row r="21">
      <c r="A21" s="2" t="inlineStr">
        <is>
          <t>TSLA</t>
        </is>
      </c>
      <c r="B21" s="2" t="inlineStr">
        <is>
          <t>TSLA</t>
        </is>
      </c>
      <c r="C21" s="2" t="inlineStr">
        <is>
          <t>Long</t>
        </is>
      </c>
      <c r="D21" s="4" t="n">
        <v>20</v>
      </c>
      <c r="E21" s="2" t="inlineStr">
        <is>
          <t>2026-10-22</t>
        </is>
      </c>
      <c r="F21" s="5" t="n">
        <v>374.146</v>
      </c>
      <c r="G21" s="5" t="n">
        <v>402.61</v>
      </c>
      <c r="H21" s="6">
        <f>D21*G21</f>
        <v/>
      </c>
      <c r="I21" s="3">
        <f>D21*(G21-F21)</f>
        <v/>
      </c>
      <c r="J21" s="7">
        <f>IF(D21&gt;0,1,-1)*(G21/F21-1)</f>
        <v/>
      </c>
    </row>
    <row r="22">
      <c r="A22" s="2" t="inlineStr">
        <is>
          <t>VLO</t>
        </is>
      </c>
      <c r="B22" s="2" t="inlineStr">
        <is>
          <t>VLO</t>
        </is>
      </c>
      <c r="C22" s="2" t="inlineStr">
        <is>
          <t>Short</t>
        </is>
      </c>
      <c r="D22" s="4" t="n">
        <v>-7</v>
      </c>
      <c r="E22" s="2" t="inlineStr">
        <is>
          <t>2026-10-29</t>
        </is>
      </c>
      <c r="F22" s="5" t="n">
        <v>384.4342857142857</v>
      </c>
      <c r="G22" s="5" t="n">
        <v>389.905</v>
      </c>
      <c r="H22" s="6">
        <f>D22*G22</f>
        <v/>
      </c>
      <c r="I22" s="3">
        <f>D22*(G22-F22)</f>
        <v/>
      </c>
      <c r="J22" s="7">
        <f>IF(D22&gt;0,1,-1)*(G22/F22-1)</f>
        <v/>
      </c>
    </row>
  </sheetData>
  <autoFilter ref="A1:J2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6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row r="38">
      <c r="A38" s="2" t="inlineStr">
        <is>
          <t>2026-10-21</t>
        </is>
      </c>
      <c r="B38" s="2" t="inlineStr">
        <is>
          <t>MSFT</t>
        </is>
      </c>
      <c r="C38" s="2" t="inlineStr">
        <is>
          <t>MSFT</t>
        </is>
      </c>
      <c r="D38" s="2" t="inlineStr">
        <is>
          <t>Long</t>
        </is>
      </c>
      <c r="E38" s="4" t="n">
        <v>7</v>
      </c>
      <c r="F38" s="5" t="n">
        <v>536.6514285714285</v>
      </c>
      <c r="G38" s="5" t="n">
        <v>533.04</v>
      </c>
      <c r="H38" s="3">
        <f>E38*(G38-F38)</f>
        <v/>
      </c>
    </row>
    <row r="39">
      <c r="A39" s="2" t="inlineStr">
        <is>
          <t>2026-10-21</t>
        </is>
      </c>
      <c r="B39" s="2" t="inlineStr">
        <is>
          <t>NFLX</t>
        </is>
      </c>
      <c r="C39" s="2" t="inlineStr">
        <is>
          <t>NFLX</t>
        </is>
      </c>
      <c r="D39" s="2" t="inlineStr">
        <is>
          <t>Short</t>
        </is>
      </c>
      <c r="E39" s="4" t="n">
        <v>-15</v>
      </c>
      <c r="F39" s="5" t="n">
        <v>72.61</v>
      </c>
      <c r="G39" s="5" t="n">
        <v>65.06866666666666</v>
      </c>
      <c r="H39" s="3">
        <f>E39*(G39-F39)</f>
        <v/>
      </c>
    </row>
    <row r="40">
      <c r="A40" s="2" t="inlineStr">
        <is>
          <t>2026-10-21</t>
        </is>
      </c>
      <c r="B40" s="2" t="inlineStr">
        <is>
          <t>ON</t>
        </is>
      </c>
      <c r="C40" s="2" t="inlineStr">
        <is>
          <t>ON</t>
        </is>
      </c>
      <c r="D40" s="2" t="inlineStr">
        <is>
          <t>Long</t>
        </is>
      </c>
      <c r="E40" s="4" t="n">
        <v>37</v>
      </c>
      <c r="F40" s="5" t="n">
        <v>73.80999999999999</v>
      </c>
      <c r="G40" s="5" t="n">
        <v>76.93108108108109</v>
      </c>
      <c r="H40" s="3">
        <f>E40*(G40-F40)</f>
        <v/>
      </c>
    </row>
    <row r="41">
      <c r="A41" s="2" t="inlineStr">
        <is>
          <t>2026-10-21</t>
        </is>
      </c>
      <c r="B41" s="2" t="inlineStr">
        <is>
          <t>NVDA</t>
        </is>
      </c>
      <c r="C41" s="2" t="inlineStr">
        <is>
          <t>NVDA</t>
        </is>
      </c>
      <c r="D41" s="2" t="inlineStr">
        <is>
          <t>Long</t>
        </is>
      </c>
      <c r="E41" s="4" t="n">
        <v>11</v>
      </c>
      <c r="F41" s="5" t="n">
        <v>225.71</v>
      </c>
      <c r="G41" s="5" t="n">
        <v>221.9227272727272</v>
      </c>
      <c r="H41" s="3">
        <f>E41*(G41-F41)</f>
        <v/>
      </c>
    </row>
    <row r="42">
      <c r="A42" s="2" t="inlineStr">
        <is>
          <t>2026-10-21</t>
        </is>
      </c>
      <c r="B42" s="2" t="inlineStr">
        <is>
          <t>ORCL</t>
        </is>
      </c>
      <c r="C42" s="2" t="inlineStr">
        <is>
          <t>ORCL</t>
        </is>
      </c>
      <c r="D42" s="2" t="inlineStr">
        <is>
          <t>Short</t>
        </is>
      </c>
      <c r="E42" s="4" t="n">
        <v>-29</v>
      </c>
      <c r="F42" s="5" t="n">
        <v>134.6575862068966</v>
      </c>
      <c r="G42" s="5" t="n">
        <v>129.0468965517241</v>
      </c>
      <c r="H42" s="3">
        <f>E42*(G42-F42)</f>
        <v/>
      </c>
    </row>
    <row r="43">
      <c r="A43" s="2" t="inlineStr">
        <is>
          <t>2026-10-21</t>
        </is>
      </c>
      <c r="B43" s="2" t="inlineStr">
        <is>
          <t>TSLA</t>
        </is>
      </c>
      <c r="C43" s="2" t="inlineStr">
        <is>
          <t>TSLA</t>
        </is>
      </c>
      <c r="D43" s="2" t="inlineStr">
        <is>
          <t>Short</t>
        </is>
      </c>
      <c r="E43" s="4" t="n">
        <v>-4</v>
      </c>
      <c r="F43" s="5" t="n">
        <v>362.625</v>
      </c>
      <c r="G43" s="5" t="n">
        <v>386.4025</v>
      </c>
      <c r="H43" s="3">
        <f>E43*(G43-F43)</f>
        <v/>
      </c>
    </row>
    <row r="44">
      <c r="A44" s="2" t="inlineStr">
        <is>
          <t>2026-10-22</t>
        </is>
      </c>
      <c r="B44" s="2" t="inlineStr">
        <is>
          <t>AMD</t>
        </is>
      </c>
      <c r="C44" s="2" t="inlineStr">
        <is>
          <t>AMD</t>
        </is>
      </c>
      <c r="D44" s="2" t="inlineStr">
        <is>
          <t>Long</t>
        </is>
      </c>
      <c r="E44" s="4" t="n">
        <v>6</v>
      </c>
      <c r="F44" s="5" t="n">
        <v>582.0666666666667</v>
      </c>
      <c r="G44" s="5" t="n">
        <v>508.1433333333334</v>
      </c>
      <c r="H44" s="3">
        <f>E44*(G44-F44)</f>
        <v/>
      </c>
    </row>
    <row r="45">
      <c r="A45" s="2" t="inlineStr">
        <is>
          <t>2026-10-22</t>
        </is>
      </c>
      <c r="B45" s="2" t="inlineStr">
        <is>
          <t>CRM</t>
        </is>
      </c>
      <c r="C45" s="2" t="inlineStr">
        <is>
          <t>CRM</t>
        </is>
      </c>
      <c r="D45" s="2" t="inlineStr">
        <is>
          <t>Long</t>
        </is>
      </c>
      <c r="E45" s="4" t="n">
        <v>18</v>
      </c>
      <c r="F45" s="5" t="n">
        <v>245.0494444444445</v>
      </c>
      <c r="G45" s="5" t="n">
        <v>250.53</v>
      </c>
      <c r="H45" s="3">
        <f>E45*(G45-F45)</f>
        <v/>
      </c>
    </row>
    <row r="46">
      <c r="A46" s="2" t="inlineStr">
        <is>
          <t>2026-10-22</t>
        </is>
      </c>
      <c r="B46" s="2" t="inlineStr">
        <is>
          <t>BAC</t>
        </is>
      </c>
      <c r="C46" s="2" t="inlineStr">
        <is>
          <t>BAC</t>
        </is>
      </c>
      <c r="D46" s="2" t="inlineStr">
        <is>
          <t>Short</t>
        </is>
      </c>
      <c r="E46" s="4" t="n">
        <v>-68</v>
      </c>
      <c r="F46" s="5" t="n">
        <v>51.19367647058823</v>
      </c>
      <c r="G46" s="5" t="n">
        <v>51.03</v>
      </c>
      <c r="H46" s="3">
        <f>E46*(G46-F46)</f>
        <v/>
      </c>
    </row>
    <row r="47">
      <c r="A47" s="2" t="inlineStr">
        <is>
          <t>2026-10-22</t>
        </is>
      </c>
      <c r="B47" s="2" t="inlineStr">
        <is>
          <t>DAL</t>
        </is>
      </c>
      <c r="C47" s="2" t="inlineStr">
        <is>
          <t>DAL</t>
        </is>
      </c>
      <c r="D47" s="2" t="inlineStr">
        <is>
          <t>Short</t>
        </is>
      </c>
      <c r="E47" s="4" t="n">
        <v>-47</v>
      </c>
      <c r="F47" s="5" t="n">
        <v>75.45893617021277</v>
      </c>
      <c r="G47" s="5" t="n">
        <v>79.14936170212766</v>
      </c>
      <c r="H47" s="3">
        <f>E47*(G47-F47)</f>
        <v/>
      </c>
    </row>
    <row r="48">
      <c r="A48" s="2" t="inlineStr">
        <is>
          <t>2026-10-22</t>
        </is>
      </c>
      <c r="B48" s="2" t="inlineStr">
        <is>
          <t>HPE</t>
        </is>
      </c>
      <c r="C48" s="2" t="inlineStr">
        <is>
          <t>HPE</t>
        </is>
      </c>
      <c r="D48" s="2" t="inlineStr">
        <is>
          <t>Long</t>
        </is>
      </c>
      <c r="E48" s="4" t="n">
        <v>65</v>
      </c>
      <c r="F48" s="5" t="n">
        <v>65.19323076923077</v>
      </c>
      <c r="G48" s="5" t="n">
        <v>55.43000000000001</v>
      </c>
      <c r="H48" s="3">
        <f>E48*(G48-F48)</f>
        <v/>
      </c>
    </row>
    <row r="49">
      <c r="A49" s="2" t="inlineStr">
        <is>
          <t>2026-10-22</t>
        </is>
      </c>
      <c r="B49" s="2" t="inlineStr">
        <is>
          <t>KHC</t>
        </is>
      </c>
      <c r="C49" s="2" t="inlineStr">
        <is>
          <t>KHC</t>
        </is>
      </c>
      <c r="D49" s="2" t="inlineStr">
        <is>
          <t>Short</t>
        </is>
      </c>
      <c r="E49" s="4" t="n">
        <v>-101</v>
      </c>
      <c r="F49" s="5" t="n">
        <v>23.23999999999999</v>
      </c>
      <c r="G49" s="5" t="n">
        <v>25.1</v>
      </c>
      <c r="H49" s="3">
        <f>E49*(G49-F49)</f>
        <v/>
      </c>
    </row>
    <row r="50">
      <c r="A50" s="2" t="inlineStr">
        <is>
          <t>2026-10-22</t>
        </is>
      </c>
      <c r="B50" s="2" t="inlineStr">
        <is>
          <t>JPM</t>
        </is>
      </c>
      <c r="C50" s="2" t="inlineStr">
        <is>
          <t>JPM</t>
        </is>
      </c>
      <c r="D50" s="2" t="inlineStr">
        <is>
          <t>Short</t>
        </is>
      </c>
      <c r="E50" s="4" t="n">
        <v>-7</v>
      </c>
      <c r="F50" s="5" t="n">
        <v>335.42</v>
      </c>
      <c r="G50" s="5" t="n">
        <v>336.3628571428571</v>
      </c>
      <c r="H50" s="3">
        <f>E50*(G50-F50)</f>
        <v/>
      </c>
    </row>
    <row r="51">
      <c r="A51" s="2" t="inlineStr">
        <is>
          <t>2026-10-22</t>
        </is>
      </c>
      <c r="B51" s="2" t="inlineStr">
        <is>
          <t>STT</t>
        </is>
      </c>
      <c r="C51" s="2" t="inlineStr">
        <is>
          <t>STT</t>
        </is>
      </c>
      <c r="D51" s="2" t="inlineStr">
        <is>
          <t>Short</t>
        </is>
      </c>
      <c r="E51" s="4" t="n">
        <v>-14</v>
      </c>
      <c r="F51" s="5" t="n">
        <v>167.6371428571428</v>
      </c>
      <c r="G51" s="5" t="n">
        <v>167.7328571428571</v>
      </c>
      <c r="H51" s="3">
        <f>E51*(G51-F51)</f>
        <v/>
      </c>
    </row>
    <row r="52">
      <c r="A52" s="2" t="inlineStr">
        <is>
          <t>2026-10-23</t>
        </is>
      </c>
      <c r="B52" s="2" t="inlineStr">
        <is>
          <t>CMG</t>
        </is>
      </c>
      <c r="C52" s="2" t="inlineStr">
        <is>
          <t>CMG</t>
        </is>
      </c>
      <c r="D52" s="2" t="inlineStr">
        <is>
          <t>Short</t>
        </is>
      </c>
      <c r="E52" s="4" t="n">
        <v>-1</v>
      </c>
      <c r="F52" s="5" t="n">
        <v>28.07</v>
      </c>
      <c r="G52" s="5" t="n">
        <v>27.51</v>
      </c>
      <c r="H52" s="3">
        <f>E52*(G52-F52)</f>
        <v/>
      </c>
    </row>
    <row r="53">
      <c r="A53" s="2" t="inlineStr">
        <is>
          <t>2026-10-23</t>
        </is>
      </c>
      <c r="B53" s="2" t="inlineStr">
        <is>
          <t>AMD</t>
        </is>
      </c>
      <c r="C53" s="2" t="inlineStr">
        <is>
          <t>AMD</t>
        </is>
      </c>
      <c r="D53" s="2" t="inlineStr">
        <is>
          <t>Short</t>
        </is>
      </c>
      <c r="E53" s="4" t="n">
        <v>-5</v>
      </c>
      <c r="F53" s="5" t="n">
        <v>507.3560000000001</v>
      </c>
      <c r="G53" s="5" t="n">
        <v>516.37</v>
      </c>
      <c r="H53" s="3">
        <f>E53*(G53-F53)</f>
        <v/>
      </c>
    </row>
    <row r="54">
      <c r="A54" s="2" t="inlineStr">
        <is>
          <t>2026-10-23</t>
        </is>
      </c>
      <c r="B54" s="2" t="inlineStr">
        <is>
          <t>META</t>
        </is>
      </c>
      <c r="C54" s="2" t="inlineStr">
        <is>
          <t>META</t>
        </is>
      </c>
      <c r="D54" s="2" t="inlineStr">
        <is>
          <t>Long</t>
        </is>
      </c>
      <c r="E54" s="4" t="n">
        <v>7</v>
      </c>
      <c r="F54" s="5" t="n">
        <v>648.3942857142857</v>
      </c>
      <c r="G54" s="5" t="n">
        <v>642.86</v>
      </c>
      <c r="H54" s="3">
        <f>E54*(G54-F54)</f>
        <v/>
      </c>
    </row>
    <row r="55">
      <c r="A55" s="2" t="inlineStr">
        <is>
          <t>2026-10-23</t>
        </is>
      </c>
      <c r="B55" s="2" t="inlineStr">
        <is>
          <t>ROL</t>
        </is>
      </c>
      <c r="C55" s="2" t="inlineStr">
        <is>
          <t>ROL</t>
        </is>
      </c>
      <c r="D55" s="2" t="inlineStr">
        <is>
          <t>Short</t>
        </is>
      </c>
      <c r="E55" s="4" t="n">
        <v>-1</v>
      </c>
      <c r="F55" s="5" t="n">
        <v>35.28</v>
      </c>
      <c r="G55" s="5" t="n">
        <v>34.88</v>
      </c>
      <c r="H55" s="3">
        <f>E55*(G55-F55)</f>
        <v/>
      </c>
    </row>
    <row r="56">
      <c r="A56" s="2" t="inlineStr">
        <is>
          <t>2026-10-26</t>
        </is>
      </c>
      <c r="B56" s="2" t="inlineStr">
        <is>
          <t>LRCX</t>
        </is>
      </c>
      <c r="C56" s="2" t="inlineStr">
        <is>
          <t>LRCX</t>
        </is>
      </c>
      <c r="D56" s="2" t="inlineStr">
        <is>
          <t>Short</t>
        </is>
      </c>
      <c r="E56" s="4" t="n">
        <v>-6</v>
      </c>
      <c r="F56" s="5" t="n">
        <v>230.03</v>
      </c>
      <c r="G56" s="5" t="n">
        <v>237.2916666666667</v>
      </c>
      <c r="H56" s="3">
        <f>E56*(G56-F56)</f>
        <v/>
      </c>
    </row>
    <row r="57">
      <c r="A57" s="2" t="inlineStr">
        <is>
          <t>2026-10-26</t>
        </is>
      </c>
      <c r="B57" s="2" t="inlineStr">
        <is>
          <t>SMCI</t>
        </is>
      </c>
      <c r="C57" s="2" t="inlineStr">
        <is>
          <t>SMCI</t>
        </is>
      </c>
      <c r="D57" s="2" t="inlineStr">
        <is>
          <t>Long</t>
        </is>
      </c>
      <c r="E57" s="4" t="n">
        <v>1</v>
      </c>
      <c r="F57" s="5" t="n">
        <v>33.72</v>
      </c>
      <c r="G57" s="5" t="n">
        <v>32.69</v>
      </c>
      <c r="H57" s="3">
        <f>E57*(G57-F57)</f>
        <v/>
      </c>
    </row>
    <row r="58">
      <c r="A58" s="2" t="inlineStr">
        <is>
          <t>2026-10-27</t>
        </is>
      </c>
      <c r="B58" s="2" t="inlineStr">
        <is>
          <t>AVGO</t>
        </is>
      </c>
      <c r="C58" s="2" t="inlineStr">
        <is>
          <t>AVGO</t>
        </is>
      </c>
      <c r="D58" s="2" t="inlineStr">
        <is>
          <t>Short</t>
        </is>
      </c>
      <c r="E58" s="4" t="n">
        <v>-7</v>
      </c>
      <c r="F58" s="5" t="n">
        <v>323.3714285714286</v>
      </c>
      <c r="G58" s="5" t="n">
        <v>342.4428571428571</v>
      </c>
      <c r="H58" s="3">
        <f>E58*(G58-F58)</f>
        <v/>
      </c>
    </row>
    <row r="59">
      <c r="A59" s="2" t="inlineStr">
        <is>
          <t>2026-10-27</t>
        </is>
      </c>
      <c r="B59" s="2" t="inlineStr">
        <is>
          <t>BA</t>
        </is>
      </c>
      <c r="C59" s="2" t="inlineStr">
        <is>
          <t>BA</t>
        </is>
      </c>
      <c r="D59" s="2" t="inlineStr">
        <is>
          <t>Long</t>
        </is>
      </c>
      <c r="E59" s="4" t="n">
        <v>13</v>
      </c>
      <c r="F59" s="5" t="n">
        <v>187.4653846153846</v>
      </c>
      <c r="G59" s="5" t="n">
        <v>168.09</v>
      </c>
      <c r="H59" s="3">
        <f>E59*(G59-F59)</f>
        <v/>
      </c>
    </row>
    <row r="60">
      <c r="A60" s="2" t="inlineStr">
        <is>
          <t>2026-10-27</t>
        </is>
      </c>
      <c r="B60" s="2" t="inlineStr">
        <is>
          <t>CRM</t>
        </is>
      </c>
      <c r="C60" s="2" t="inlineStr">
        <is>
          <t>CRM</t>
        </is>
      </c>
      <c r="D60" s="2" t="inlineStr">
        <is>
          <t>Short</t>
        </is>
      </c>
      <c r="E60" s="4" t="n">
        <v>-18</v>
      </c>
      <c r="F60" s="5" t="n">
        <v>249.8388888888889</v>
      </c>
      <c r="G60" s="5" t="n">
        <v>240.8416666666666</v>
      </c>
      <c r="H60" s="3">
        <f>E60*(G60-F60)</f>
        <v/>
      </c>
    </row>
    <row r="61">
      <c r="A61" s="2" t="inlineStr">
        <is>
          <t>2026-10-27</t>
        </is>
      </c>
      <c r="B61" s="2" t="inlineStr">
        <is>
          <t>MMM</t>
        </is>
      </c>
      <c r="C61" s="2" t="inlineStr">
        <is>
          <t>MMM</t>
        </is>
      </c>
      <c r="D61" s="2" t="inlineStr">
        <is>
          <t>Long</t>
        </is>
      </c>
      <c r="E61" s="4" t="n">
        <v>15</v>
      </c>
      <c r="F61" s="5" t="n">
        <v>175.868</v>
      </c>
      <c r="G61" s="5" t="n">
        <v>171.6473333333333</v>
      </c>
      <c r="H61" s="3">
        <f>E61*(G61-F61)</f>
        <v/>
      </c>
    </row>
    <row r="62">
      <c r="A62" s="2" t="inlineStr">
        <is>
          <t>2026-10-27</t>
        </is>
      </c>
      <c r="B62" s="2" t="inlineStr">
        <is>
          <t>MRVL</t>
        </is>
      </c>
      <c r="C62" s="2" t="inlineStr">
        <is>
          <t>MRVL</t>
        </is>
      </c>
      <c r="D62" s="2" t="inlineStr">
        <is>
          <t>Long</t>
        </is>
      </c>
      <c r="E62" s="4" t="n">
        <v>35</v>
      </c>
      <c r="F62" s="5" t="n">
        <v>262.5911428571428</v>
      </c>
      <c r="G62" s="5" t="n">
        <v>243.8202857142857</v>
      </c>
      <c r="H62" s="3">
        <f>E62*(G62-F62)</f>
        <v/>
      </c>
    </row>
    <row r="63">
      <c r="A63" s="2" t="inlineStr">
        <is>
          <t>2026-10-27</t>
        </is>
      </c>
      <c r="B63" s="2" t="inlineStr">
        <is>
          <t>WMT</t>
        </is>
      </c>
      <c r="C63" s="2" t="inlineStr">
        <is>
          <t>WMT</t>
        </is>
      </c>
      <c r="D63" s="2" t="inlineStr">
        <is>
          <t>Long</t>
        </is>
      </c>
      <c r="E63" s="4" t="n">
        <v>24</v>
      </c>
      <c r="F63" s="5" t="n">
        <v>121.07</v>
      </c>
      <c r="G63" s="5" t="n">
        <v>119.28</v>
      </c>
      <c r="H63" s="3">
        <f>E63*(G63-F63)</f>
        <v/>
      </c>
    </row>
    <row r="64">
      <c r="A64" s="2" t="inlineStr">
        <is>
          <t>2026-10-27</t>
        </is>
      </c>
      <c r="B64" s="2" t="inlineStr">
        <is>
          <t>NKE</t>
        </is>
      </c>
      <c r="C64" s="2" t="inlineStr">
        <is>
          <t>NKE</t>
        </is>
      </c>
      <c r="D64" s="2" t="inlineStr">
        <is>
          <t>Short</t>
        </is>
      </c>
      <c r="E64" s="4" t="n">
        <v>-256</v>
      </c>
      <c r="F64" s="5" t="n">
        <v>35.4966796875</v>
      </c>
      <c r="G64" s="5" t="n">
        <v>37.56999999999999</v>
      </c>
      <c r="H64" s="3">
        <f>E64*(G64-F64)</f>
        <v/>
      </c>
    </row>
    <row r="65">
      <c r="A65" s="2" t="inlineStr">
        <is>
          <t>2026-10-27</t>
        </is>
      </c>
      <c r="B65" s="2" t="inlineStr">
        <is>
          <t>XOM</t>
        </is>
      </c>
      <c r="C65" s="2" t="inlineStr">
        <is>
          <t>XOM</t>
        </is>
      </c>
      <c r="D65" s="2" t="inlineStr">
        <is>
          <t>Long</t>
        </is>
      </c>
      <c r="E65" s="4" t="n">
        <v>14</v>
      </c>
      <c r="F65" s="5" t="n">
        <v>177.92</v>
      </c>
      <c r="G65" s="5" t="n">
        <v>179.8371428571429</v>
      </c>
      <c r="H65" s="3">
        <f>E65*(G65-F65)</f>
        <v/>
      </c>
    </row>
    <row r="66">
      <c r="A66" s="2" t="inlineStr">
        <is>
          <t>2026-10-29</t>
        </is>
      </c>
      <c r="B66" s="2" t="inlineStr">
        <is>
          <t>MSFT</t>
        </is>
      </c>
      <c r="C66" s="2" t="inlineStr">
        <is>
          <t>MSFT</t>
        </is>
      </c>
      <c r="D66" s="2" t="inlineStr">
        <is>
          <t>Short</t>
        </is>
      </c>
      <c r="E66" s="4" t="n">
        <v>-5</v>
      </c>
      <c r="F66" s="5" t="n">
        <v>520.91</v>
      </c>
      <c r="G66" s="5" t="n">
        <v>530.4259999999999</v>
      </c>
      <c r="H66" s="3">
        <f>E66*(G66-F66)</f>
        <v/>
      </c>
    </row>
    <row r="67">
      <c r="A67" s="2" t="inlineStr">
        <is>
          <t>2026-10-29</t>
        </is>
      </c>
      <c r="B67" s="2" t="inlineStr">
        <is>
          <t>CMG</t>
        </is>
      </c>
      <c r="C67" s="2" t="inlineStr">
        <is>
          <t>CMG</t>
        </is>
      </c>
      <c r="D67" s="2" t="inlineStr">
        <is>
          <t>Short</t>
        </is>
      </c>
      <c r="E67" s="4" t="n">
        <v>-86</v>
      </c>
      <c r="F67" s="5" t="n">
        <v>28.07</v>
      </c>
      <c r="G67" s="5" t="n">
        <v>31.34</v>
      </c>
      <c r="H67" s="3">
        <f>E67*(G67-F67)</f>
        <v/>
      </c>
    </row>
    <row r="68">
      <c r="A68" s="2" t="inlineStr">
        <is>
          <t>2026-10-29</t>
        </is>
      </c>
      <c r="B68" s="2" t="inlineStr">
        <is>
          <t>LRCX</t>
        </is>
      </c>
      <c r="C68" s="2" t="inlineStr">
        <is>
          <t>LRCX</t>
        </is>
      </c>
      <c r="D68" s="2" t="inlineStr">
        <is>
          <t>Short</t>
        </is>
      </c>
      <c r="E68" s="4" t="n">
        <v>-7</v>
      </c>
      <c r="F68" s="5" t="n">
        <v>230.03</v>
      </c>
      <c r="G68" s="5" t="n">
        <v>254.17</v>
      </c>
      <c r="H68" s="3">
        <f>E68*(G68-F68)</f>
        <v/>
      </c>
    </row>
  </sheetData>
  <autoFilter ref="A1:H6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10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758.665</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861.45</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890.9450000000001</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890.9450000000001</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62.485</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545.975</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107.97</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133.64</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758.665</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758.665</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758.665</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758.665</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512.8200000000001</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512.8200000000001</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326.73</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326.73</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326.73</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171.95</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264.86</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282.28</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54.93</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828.41</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1431.34</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199.975</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206.23</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206.23</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545.975</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107.97</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257.79</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622.86</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38.845</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137.51</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137.51</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1200.98</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1200.98</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660.42</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371.64</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326.73</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171.95</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545.975</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264.86</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281.95</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828.41</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1431.34</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107.97</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257.79</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622.86</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137.505</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1200.98</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758.665</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660.17</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371.64</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32.58</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310.455</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2026-10-14</t>
        </is>
      </c>
      <c r="B56" s="2" t="inlineStr">
        <is>
          <t>MSFT</t>
        </is>
      </c>
      <c r="C56" s="2" t="inlineStr">
        <is>
          <t>MSFT</t>
        </is>
      </c>
      <c r="D56" s="2" t="inlineStr">
        <is>
          <t>position (lifecycle)</t>
        </is>
      </c>
      <c r="E56" s="2" t="inlineStr">
        <is>
          <t>Long</t>
        </is>
      </c>
      <c r="F56" s="2" t="inlineStr">
        <is>
          <t>Closed</t>
        </is>
      </c>
      <c r="G56" s="2" t="inlineStr">
        <is>
          <t>2026-10-15</t>
        </is>
      </c>
      <c r="H56" s="2" t="inlineStr">
        <is>
          <t>2026-10-21</t>
        </is>
      </c>
      <c r="I56" s="4" t="n">
        <v>7</v>
      </c>
      <c r="J56" s="5" t="n">
        <v>536.6514285714286</v>
      </c>
      <c r="K56" s="5" t="n">
        <v>533.04</v>
      </c>
      <c r="L56" s="5" t="n">
        <v>522.1</v>
      </c>
      <c r="M56" s="7">
        <f>IFERROR(IF(E56="Short",-1,1)*(IF(K56&lt;&gt;"",K56,L56)/J56-1),"")</f>
        <v/>
      </c>
      <c r="N56" s="6">
        <f>IFERROR(I56*(IF(K56&lt;&gt;"",K56,L56)-J56),"")</f>
        <v/>
      </c>
      <c r="O56" s="8" t="n">
        <v>0.5</v>
      </c>
      <c r="P56" s="2" t="n"/>
      <c r="Q5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57">
      <c r="A57" s="2" t="inlineStr">
        <is>
          <t>2026-10-14</t>
        </is>
      </c>
      <c r="B57" s="2" t="inlineStr">
        <is>
          <t>NFLX</t>
        </is>
      </c>
      <c r="C57" s="2" t="inlineStr">
        <is>
          <t>NFLX</t>
        </is>
      </c>
      <c r="D57" s="2" t="inlineStr">
        <is>
          <t>position (lifecycle)</t>
        </is>
      </c>
      <c r="E57" s="2" t="inlineStr">
        <is>
          <t>Short</t>
        </is>
      </c>
      <c r="F57" s="2" t="inlineStr">
        <is>
          <t>Closed</t>
        </is>
      </c>
      <c r="G57" s="2" t="inlineStr">
        <is>
          <t>2026-10-15</t>
        </is>
      </c>
      <c r="H57" s="2" t="inlineStr">
        <is>
          <t>2026-10-21</t>
        </is>
      </c>
      <c r="I57" s="4" t="n">
        <v>-15</v>
      </c>
      <c r="J57" s="5" t="n">
        <v>72.61</v>
      </c>
      <c r="K57" s="5" t="n">
        <v>65.068667</v>
      </c>
      <c r="L57" s="5" t="n">
        <v>62.485</v>
      </c>
      <c r="M57" s="7">
        <f>IFERROR(IF(E57="Short",-1,1)*(IF(K57&lt;&gt;"",K57,L57)/J57-1),"")</f>
        <v/>
      </c>
      <c r="N57" s="6">
        <f>IFERROR(I57*(IF(K57&lt;&gt;"",K57,L57)-J57),"")</f>
        <v/>
      </c>
      <c r="O57" s="8" t="n">
        <v>0.55</v>
      </c>
      <c r="P57" s="2" t="n"/>
      <c r="Q5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58">
      <c r="A58" s="2" t="inlineStr">
        <is>
          <t>2026-10-14</t>
        </is>
      </c>
      <c r="B58" s="2" t="inlineStr">
        <is>
          <t>NVDA</t>
        </is>
      </c>
      <c r="C58" s="2" t="inlineStr">
        <is>
          <t>NVDA</t>
        </is>
      </c>
      <c r="D58" s="2" t="inlineStr">
        <is>
          <t>position (lifecycle)</t>
        </is>
      </c>
      <c r="E58" s="2" t="inlineStr">
        <is>
          <t>Long</t>
        </is>
      </c>
      <c r="F58" s="2" t="inlineStr">
        <is>
          <t>Closed</t>
        </is>
      </c>
      <c r="G58" s="2" t="inlineStr">
        <is>
          <t>2026-10-15</t>
        </is>
      </c>
      <c r="H58" s="2" t="inlineStr">
        <is>
          <t>2026-10-21</t>
        </is>
      </c>
      <c r="I58" s="4" t="n">
        <v>11</v>
      </c>
      <c r="J58" s="5" t="n">
        <v>217.2663609175249</v>
      </c>
      <c r="K58" s="5" t="n">
        <v>221.922727</v>
      </c>
      <c r="L58" s="5" t="n">
        <v>206.25</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ON</t>
        </is>
      </c>
      <c r="C59" s="2" t="inlineStr">
        <is>
          <t>ON</t>
        </is>
      </c>
      <c r="D59" s="2" t="inlineStr">
        <is>
          <t>position (lifecycle)</t>
        </is>
      </c>
      <c r="E59" s="2" t="inlineStr">
        <is>
          <t>Long</t>
        </is>
      </c>
      <c r="F59" s="2" t="inlineStr">
        <is>
          <t>Closed</t>
        </is>
      </c>
      <c r="G59" s="2" t="inlineStr">
        <is>
          <t>2026-10-15</t>
        </is>
      </c>
      <c r="H59" s="2" t="inlineStr">
        <is>
          <t>2026-10-21</t>
        </is>
      </c>
      <c r="I59" s="4" t="n">
        <v>37</v>
      </c>
      <c r="J59" s="5" t="n">
        <v>73.81</v>
      </c>
      <c r="K59" s="5" t="n">
        <v>76.93108100000001</v>
      </c>
      <c r="L59" s="5" t="n">
        <v>71.59999999999999</v>
      </c>
      <c r="M59" s="7">
        <f>IFERROR(IF(E59="Short",-1,1)*(IF(K59&lt;&gt;"",K59,L59)/J59-1),"")</f>
        <v/>
      </c>
      <c r="N59" s="6">
        <f>IFERROR(I59*(IF(K59&lt;&gt;"",K59,L59)-J59),"")</f>
        <v/>
      </c>
      <c r="O59" s="8" t="n">
        <v>0.55</v>
      </c>
      <c r="P59" s="2" t="n"/>
      <c r="Q59"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0">
      <c r="A60" s="2" t="inlineStr">
        <is>
          <t>2026-10-14</t>
        </is>
      </c>
      <c r="B60" s="2" t="inlineStr">
        <is>
          <t>ORCL</t>
        </is>
      </c>
      <c r="C60" s="2" t="inlineStr">
        <is>
          <t>ORCL</t>
        </is>
      </c>
      <c r="D60" s="2" t="inlineStr">
        <is>
          <t>position (lifecycle)</t>
        </is>
      </c>
      <c r="E60" s="2" t="inlineStr">
        <is>
          <t>Short</t>
        </is>
      </c>
      <c r="F60" s="2" t="inlineStr">
        <is>
          <t>Closed</t>
        </is>
      </c>
      <c r="G60" s="2" t="inlineStr">
        <is>
          <t>2026-10-15</t>
        </is>
      </c>
      <c r="H60" s="2" t="inlineStr">
        <is>
          <t>2026-10-21</t>
        </is>
      </c>
      <c r="I60" s="4" t="n">
        <v>-29</v>
      </c>
      <c r="J60" s="5" t="n">
        <v>134.657586</v>
      </c>
      <c r="K60" s="5" t="n">
        <v>129.046897</v>
      </c>
      <c r="L60" s="5" t="n">
        <v>132.1</v>
      </c>
      <c r="M60" s="7">
        <f>IFERROR(IF(E60="Short",-1,1)*(IF(K60&lt;&gt;"",K60,L60)/J60-1),"")</f>
        <v/>
      </c>
      <c r="N60" s="6">
        <f>IFERROR(I60*(IF(K60&lt;&gt;"",K60,L60)-J60),"")</f>
        <v/>
      </c>
      <c r="O60" s="8" t="n">
        <v>0.5</v>
      </c>
      <c r="P60" s="2" t="n"/>
      <c r="Q60"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1">
      <c r="A61" s="2" t="inlineStr">
        <is>
          <t>2026-10-14</t>
        </is>
      </c>
      <c r="B61" s="2" t="inlineStr">
        <is>
          <t>TSLA</t>
        </is>
      </c>
      <c r="C61" s="2" t="inlineStr">
        <is>
          <t>TSLA</t>
        </is>
      </c>
      <c r="D61" s="2" t="inlineStr">
        <is>
          <t>position (lifecycle)</t>
        </is>
      </c>
      <c r="E61" s="2" t="inlineStr">
        <is>
          <t>Short</t>
        </is>
      </c>
      <c r="F61" s="2" t="inlineStr">
        <is>
          <t>Closed</t>
        </is>
      </c>
      <c r="G61" s="2" t="inlineStr">
        <is>
          <t>2026-10-15</t>
        </is>
      </c>
      <c r="H61" s="2" t="inlineStr">
        <is>
          <t>2026-10-21</t>
        </is>
      </c>
      <c r="I61" s="4" t="n">
        <v>-4</v>
      </c>
      <c r="J61" s="5" t="n">
        <v>362.625</v>
      </c>
      <c r="K61" s="5" t="n">
        <v>386.4025</v>
      </c>
      <c r="L61" s="5" t="n">
        <v>402.55</v>
      </c>
      <c r="M61" s="7">
        <f>IFERROR(IF(E61="Short",-1,1)*(IF(K61&lt;&gt;"",K61,L61)/J61-1),"")</f>
        <v/>
      </c>
      <c r="N61" s="6">
        <f>IFERROR(I61*(IF(K61&lt;&gt;"",K61,L61)-J61),"")</f>
        <v/>
      </c>
      <c r="O61" s="8" t="n">
        <v>0.4</v>
      </c>
      <c r="P61" s="2" t="n"/>
      <c r="Q6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62">
      <c r="A62" s="2" t="inlineStr">
        <is>
          <t>2026-10-21</t>
        </is>
      </c>
      <c r="B62" s="2" t="inlineStr">
        <is>
          <t>AMD</t>
        </is>
      </c>
      <c r="C62" s="2" t="inlineStr">
        <is>
          <t>AMD</t>
        </is>
      </c>
      <c r="D62" s="2" t="inlineStr">
        <is>
          <t>position (lifecycle)</t>
        </is>
      </c>
      <c r="E62" s="2" t="inlineStr">
        <is>
          <t>Long</t>
        </is>
      </c>
      <c r="F62" s="2" t="inlineStr">
        <is>
          <t>Closed</t>
        </is>
      </c>
      <c r="G62" s="2" t="inlineStr">
        <is>
          <t>2026-10-15</t>
        </is>
      </c>
      <c r="H62" s="2" t="inlineStr">
        <is>
          <t>2026-10-22</t>
        </is>
      </c>
      <c r="I62" s="4" t="n">
        <v>6</v>
      </c>
      <c r="J62" s="5" t="n">
        <v>562.43666015625</v>
      </c>
      <c r="K62" s="5" t="n">
        <v>508.143333</v>
      </c>
      <c r="L62" s="5" t="n">
        <v>512.49</v>
      </c>
      <c r="M62" s="7">
        <f>IFERROR(IF(E62="Short",-1,1)*(IF(K62&lt;&gt;"",K62,L62)/J62-1),"")</f>
        <v/>
      </c>
      <c r="N62" s="6">
        <f>IFERROR(I62*(IF(K62&lt;&gt;"",K62,L62)-J62),"")</f>
        <v/>
      </c>
      <c r="O62" s="8" t="n">
        <v>0.5</v>
      </c>
      <c r="P62" s="2" t="n"/>
      <c r="Q62"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63">
      <c r="A63" s="2" t="inlineStr">
        <is>
          <t>2026-10-14</t>
        </is>
      </c>
      <c r="B63" s="2" t="inlineStr">
        <is>
          <t>BAC</t>
        </is>
      </c>
      <c r="C63" s="2" t="inlineStr">
        <is>
          <t>BAC</t>
        </is>
      </c>
      <c r="D63" s="2" t="inlineStr">
        <is>
          <t>position (lifecycle)</t>
        </is>
      </c>
      <c r="E63" s="2" t="inlineStr">
        <is>
          <t>Short</t>
        </is>
      </c>
      <c r="F63" s="2" t="inlineStr">
        <is>
          <t>Closed</t>
        </is>
      </c>
      <c r="G63" s="2" t="inlineStr">
        <is>
          <t>2026-10-15</t>
        </is>
      </c>
      <c r="H63" s="2" t="inlineStr">
        <is>
          <t>2026-10-22</t>
        </is>
      </c>
      <c r="I63" s="4" t="n">
        <v>-68</v>
      </c>
      <c r="J63" s="5" t="n">
        <v>51.19367658823529</v>
      </c>
      <c r="K63" s="5" t="n">
        <v>51.03</v>
      </c>
      <c r="L63" s="5" t="n">
        <v>50.2</v>
      </c>
      <c r="M63" s="7">
        <f>IFERROR(IF(E63="Short",-1,1)*(IF(K63&lt;&gt;"",K63,L63)/J63-1),"")</f>
        <v/>
      </c>
      <c r="N63" s="6">
        <f>IFERROR(I63*(IF(K63&lt;&gt;"",K63,L63)-J63),"")</f>
        <v/>
      </c>
      <c r="O63" s="8" t="n">
        <v>0.58</v>
      </c>
      <c r="P63" s="2" t="n"/>
      <c r="Q63"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4">
      <c r="A64" s="2" t="inlineStr">
        <is>
          <t>2026-10-21</t>
        </is>
      </c>
      <c r="B64" s="2" t="inlineStr">
        <is>
          <t>CRM</t>
        </is>
      </c>
      <c r="C64" s="2" t="inlineStr">
        <is>
          <t>CRM</t>
        </is>
      </c>
      <c r="D64" s="2" t="inlineStr">
        <is>
          <t>position (lifecycle)</t>
        </is>
      </c>
      <c r="E64" s="2" t="inlineStr">
        <is>
          <t>Long</t>
        </is>
      </c>
      <c r="F64" s="2" t="inlineStr">
        <is>
          <t>Closed</t>
        </is>
      </c>
      <c r="G64" s="2" t="inlineStr">
        <is>
          <t>2026-10-15</t>
        </is>
      </c>
      <c r="H64" s="2" t="inlineStr">
        <is>
          <t>2026-10-22</t>
        </is>
      </c>
      <c r="I64" s="4" t="n">
        <v>18</v>
      </c>
      <c r="J64" s="5" t="n">
        <v>245.0494446666667</v>
      </c>
      <c r="K64" s="5" t="n">
        <v>250.53</v>
      </c>
      <c r="L64" s="5" t="n">
        <v>232.21</v>
      </c>
      <c r="M64" s="7">
        <f>IFERROR(IF(E64="Short",-1,1)*(IF(K64&lt;&gt;"",K64,L64)/J64-1),"")</f>
        <v/>
      </c>
      <c r="N64" s="6">
        <f>IFERROR(I64*(IF(K64&lt;&gt;"",K64,L64)-J64),"")</f>
        <v/>
      </c>
      <c r="O64" s="8" t="n">
        <v>0.6</v>
      </c>
      <c r="P64" s="2" t="n"/>
      <c r="Q6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65">
      <c r="A65" s="2" t="inlineStr">
        <is>
          <t>2026-10-14</t>
        </is>
      </c>
      <c r="B65" s="2" t="inlineStr">
        <is>
          <t>DAL</t>
        </is>
      </c>
      <c r="C65" s="2" t="inlineStr">
        <is>
          <t>DAL</t>
        </is>
      </c>
      <c r="D65" s="2" t="inlineStr">
        <is>
          <t>position (lifecycle)</t>
        </is>
      </c>
      <c r="E65" s="2" t="inlineStr">
        <is>
          <t>Short</t>
        </is>
      </c>
      <c r="F65" s="2" t="inlineStr">
        <is>
          <t>Closed</t>
        </is>
      </c>
      <c r="G65" s="2" t="inlineStr">
        <is>
          <t>2026-10-15</t>
        </is>
      </c>
      <c r="H65" s="2" t="inlineStr">
        <is>
          <t>2026-10-22</t>
        </is>
      </c>
      <c r="I65" s="4" t="n">
        <v>-47</v>
      </c>
      <c r="J65" s="5" t="n">
        <v>76.79842105263158</v>
      </c>
      <c r="K65" s="5" t="n">
        <v>79.149362</v>
      </c>
      <c r="L65" s="5" t="n">
        <v>79.20999999999999</v>
      </c>
      <c r="M65" s="7">
        <f>IFERROR(IF(E65="Short",-1,1)*(IF(K65&lt;&gt;"",K65,L65)/J65-1),"")</f>
        <v/>
      </c>
      <c r="N65" s="6">
        <f>IFERROR(I65*(IF(K65&lt;&gt;"",K65,L65)-J65),"")</f>
        <v/>
      </c>
      <c r="O65" s="8" t="n">
        <v>0.6</v>
      </c>
      <c r="P65" s="2" t="n"/>
      <c r="Q65"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6">
      <c r="A66" s="2" t="inlineStr">
        <is>
          <t>2026-10-07</t>
        </is>
      </c>
      <c r="B66" s="2" t="inlineStr">
        <is>
          <t>HPE</t>
        </is>
      </c>
      <c r="C66" s="2" t="inlineStr">
        <is>
          <t>HPE</t>
        </is>
      </c>
      <c r="D66" s="2" t="inlineStr">
        <is>
          <t>position (lifecycle)</t>
        </is>
      </c>
      <c r="E66" s="2" t="inlineStr">
        <is>
          <t>Long</t>
        </is>
      </c>
      <c r="F66" s="2" t="inlineStr">
        <is>
          <t>Closed</t>
        </is>
      </c>
      <c r="G66" s="2" t="inlineStr">
        <is>
          <t>2026-10-15</t>
        </is>
      </c>
      <c r="H66" s="2" t="inlineStr">
        <is>
          <t>2026-10-22</t>
        </is>
      </c>
      <c r="I66" s="4" t="n">
        <v>65</v>
      </c>
      <c r="J66" s="5" t="n">
        <v>58.38646216080229</v>
      </c>
      <c r="K66" s="5" t="n">
        <v>55.43</v>
      </c>
      <c r="L66" s="5" t="n">
        <v>54.93</v>
      </c>
      <c r="M66" s="7">
        <f>IFERROR(IF(E66="Short",-1,1)*(IF(K66&lt;&gt;"",K66,L66)/J66-1),"")</f>
        <v/>
      </c>
      <c r="N66" s="6">
        <f>IFERROR(I66*(IF(K66&lt;&gt;"",K66,L66)-J66),"")</f>
        <v/>
      </c>
      <c r="O66" s="8" t="n">
        <v>0.6</v>
      </c>
      <c r="P66" s="2" t="n"/>
      <c r="Q66"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67">
      <c r="A67" s="2" t="inlineStr">
        <is>
          <t>2026-10-14</t>
        </is>
      </c>
      <c r="B67" s="2" t="inlineStr">
        <is>
          <t>JPM</t>
        </is>
      </c>
      <c r="C67" s="2" t="inlineStr">
        <is>
          <t>JPM</t>
        </is>
      </c>
      <c r="D67" s="2" t="inlineStr">
        <is>
          <t>position (lifecycle)</t>
        </is>
      </c>
      <c r="E67" s="2" t="inlineStr">
        <is>
          <t>Short</t>
        </is>
      </c>
      <c r="F67" s="2" t="inlineStr">
        <is>
          <t>Closed</t>
        </is>
      </c>
      <c r="G67" s="2" t="inlineStr">
        <is>
          <t>2026-10-15</t>
        </is>
      </c>
      <c r="H67" s="2" t="inlineStr">
        <is>
          <t>2026-10-22</t>
        </is>
      </c>
      <c r="I67" s="4" t="n">
        <v>-7</v>
      </c>
      <c r="J67" s="5" t="n">
        <v>335.42</v>
      </c>
      <c r="K67" s="5" t="n">
        <v>336.362857</v>
      </c>
      <c r="L67" s="5" t="n">
        <v>338.82</v>
      </c>
      <c r="M67" s="7">
        <f>IFERROR(IF(E67="Short",-1,1)*(IF(K67&lt;&gt;"",K67,L67)/J67-1),"")</f>
        <v/>
      </c>
      <c r="N67" s="6">
        <f>IFERROR(I67*(IF(K67&lt;&gt;"",K67,L67)-J67),"")</f>
        <v/>
      </c>
      <c r="O67" s="8" t="n">
        <v>0.6</v>
      </c>
      <c r="P67" s="2" t="n"/>
      <c r="Q67"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8">
      <c r="A68" s="2" t="inlineStr">
        <is>
          <t>2026-10-14</t>
        </is>
      </c>
      <c r="B68" s="2" t="inlineStr">
        <is>
          <t>KHC</t>
        </is>
      </c>
      <c r="C68" s="2" t="inlineStr">
        <is>
          <t>KHC</t>
        </is>
      </c>
      <c r="D68" s="2" t="inlineStr">
        <is>
          <t>position (lifecycle)</t>
        </is>
      </c>
      <c r="E68" s="2" t="inlineStr">
        <is>
          <t>Short</t>
        </is>
      </c>
      <c r="F68" s="2" t="inlineStr">
        <is>
          <t>Closed</t>
        </is>
      </c>
      <c r="G68" s="2" t="inlineStr">
        <is>
          <t>2026-10-15</t>
        </is>
      </c>
      <c r="H68" s="2" t="inlineStr">
        <is>
          <t>2026-10-22</t>
        </is>
      </c>
      <c r="I68" s="4" t="n">
        <v>-101</v>
      </c>
      <c r="J68" s="5" t="n">
        <v>23.24</v>
      </c>
      <c r="K68" s="5" t="n">
        <v>25.1</v>
      </c>
      <c r="L68" s="5" t="n">
        <v>24.545</v>
      </c>
      <c r="M68" s="7">
        <f>IFERROR(IF(E68="Short",-1,1)*(IF(K68&lt;&gt;"",K68,L68)/J68-1),"")</f>
        <v/>
      </c>
      <c r="N68" s="6">
        <f>IFERROR(I68*(IF(K68&lt;&gt;"",K68,L68)-J68),"")</f>
        <v/>
      </c>
      <c r="O68" s="8" t="n">
        <v>0.6</v>
      </c>
      <c r="P68" s="2" t="n"/>
      <c r="Q68"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9">
      <c r="A69" s="2" t="inlineStr">
        <is>
          <t>2026-10-14</t>
        </is>
      </c>
      <c r="B69" s="2" t="inlineStr">
        <is>
          <t>STT</t>
        </is>
      </c>
      <c r="C69" s="2" t="inlineStr">
        <is>
          <t>STT</t>
        </is>
      </c>
      <c r="D69" s="2" t="inlineStr">
        <is>
          <t>position (lifecycle)</t>
        </is>
      </c>
      <c r="E69" s="2" t="inlineStr">
        <is>
          <t>Short</t>
        </is>
      </c>
      <c r="F69" s="2" t="inlineStr">
        <is>
          <t>Closed</t>
        </is>
      </c>
      <c r="G69" s="2" t="inlineStr">
        <is>
          <t>2026-10-15</t>
        </is>
      </c>
      <c r="H69" s="2" t="inlineStr">
        <is>
          <t>2026-10-22</t>
        </is>
      </c>
      <c r="I69" s="4" t="n">
        <v>-14</v>
      </c>
      <c r="J69" s="5" t="n">
        <v>167.637143</v>
      </c>
      <c r="K69" s="5" t="n">
        <v>167.732857</v>
      </c>
      <c r="L69" s="5" t="n">
        <v>169.54</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2026-10-21</t>
        </is>
      </c>
      <c r="B70" s="2" t="inlineStr">
        <is>
          <t>AMD</t>
        </is>
      </c>
      <c r="C70" s="2" t="inlineStr">
        <is>
          <t>AMD</t>
        </is>
      </c>
      <c r="D70" s="2" t="inlineStr">
        <is>
          <t>position (lifecycle)</t>
        </is>
      </c>
      <c r="E70" s="2" t="inlineStr">
        <is>
          <t>Short</t>
        </is>
      </c>
      <c r="F70" s="2" t="inlineStr">
        <is>
          <t>Closed</t>
        </is>
      </c>
      <c r="G70" s="2" t="inlineStr">
        <is>
          <t>2026-10-22</t>
        </is>
      </c>
      <c r="H70" s="2" t="inlineStr">
        <is>
          <t>2026-10-23</t>
        </is>
      </c>
      <c r="I70" s="4" t="n">
        <v>-5</v>
      </c>
      <c r="J70" s="5" t="n">
        <v>507.3559999999999</v>
      </c>
      <c r="K70" s="5" t="n">
        <v>516.37</v>
      </c>
      <c r="L70" s="5" t="n">
        <v>512.49</v>
      </c>
      <c r="M70" s="7">
        <f>IFERROR(IF(E70="Short",-1,1)*(IF(K70&lt;&gt;"",K70,L70)/J70-1),"")</f>
        <v/>
      </c>
      <c r="N70" s="6">
        <f>IFERROR(I70*(IF(K70&lt;&gt;"",K70,L70)-J70),"")</f>
        <v/>
      </c>
      <c r="O70" s="8" t="n">
        <v>0.5</v>
      </c>
      <c r="P70" s="2" t="n"/>
      <c r="Q70"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71">
      <c r="A71" s="2" t="inlineStr">
        <is>
          <t>2026-10-21</t>
        </is>
      </c>
      <c r="B71" s="2" t="inlineStr">
        <is>
          <t>META</t>
        </is>
      </c>
      <c r="C71" s="2" t="inlineStr">
        <is>
          <t>META</t>
        </is>
      </c>
      <c r="D71" s="2" t="inlineStr">
        <is>
          <t>position (lifecycle)</t>
        </is>
      </c>
      <c r="E71" s="2" t="inlineStr">
        <is>
          <t>Long</t>
        </is>
      </c>
      <c r="F71" s="2" t="inlineStr">
        <is>
          <t>Closed</t>
        </is>
      </c>
      <c r="G71" s="2" t="inlineStr">
        <is>
          <t>2026-10-22</t>
        </is>
      </c>
      <c r="H71" s="2" t="inlineStr">
        <is>
          <t>2026-10-23</t>
        </is>
      </c>
      <c r="I71" s="4" t="n">
        <v>7</v>
      </c>
      <c r="J71" s="5" t="n">
        <v>648.394286</v>
      </c>
      <c r="K71" s="5" t="n">
        <v>642.86</v>
      </c>
      <c r="L71" s="5" t="n">
        <v>622.86</v>
      </c>
      <c r="M71" s="7">
        <f>IFERROR(IF(E71="Short",-1,1)*(IF(K71&lt;&gt;"",K71,L71)/J71-1),"")</f>
        <v/>
      </c>
      <c r="N71" s="6">
        <f>IFERROR(I71*(IF(K71&lt;&gt;"",K71,L71)-J71),"")</f>
        <v/>
      </c>
      <c r="O71" s="8" t="n">
        <v>0.5</v>
      </c>
      <c r="P71" s="2" t="n"/>
      <c r="Q71" s="9" t="inlineStr">
        <is>
          <t>Q3 results (Oct 21) beat expectations and Muse AI traction (10M+ users in 40 days, ChatGPT US installs -25%) is a fresh idiosyncratic positive after a -5.4% week selloff on AI-financing fears. The record $25B New Mexico fine drew no stock reaction, so it is largely priced. Net positive relative setup. | horizon 14 days; exit if: Meta Q3 revenue misses expectations or company cuts FY guidance; Muse AI user growth stalls or ChatGPT US installs rebound; New Mexico imposes additional fines or regulatory action</t>
        </is>
      </c>
    </row>
    <row r="72">
      <c r="A72" s="2" t="inlineStr">
        <is>
          <t>2026-10-21</t>
        </is>
      </c>
      <c r="B72" s="2" t="inlineStr">
        <is>
          <t>AVGO</t>
        </is>
      </c>
      <c r="C72" s="2" t="inlineStr">
        <is>
          <t>AVGO</t>
        </is>
      </c>
      <c r="D72" s="2" t="inlineStr">
        <is>
          <t>position (lifecycle)</t>
        </is>
      </c>
      <c r="E72" s="2" t="inlineStr">
        <is>
          <t>Short</t>
        </is>
      </c>
      <c r="F72" s="2" t="inlineStr">
        <is>
          <t>Closed</t>
        </is>
      </c>
      <c r="G72" s="2" t="inlineStr">
        <is>
          <t>2026-10-22</t>
        </is>
      </c>
      <c r="H72" s="2" t="inlineStr">
        <is>
          <t>2026-10-27</t>
        </is>
      </c>
      <c r="I72" s="4" t="n">
        <v>-7</v>
      </c>
      <c r="J72" s="5" t="n">
        <v>323.371428</v>
      </c>
      <c r="K72" s="5" t="n">
        <v>342.442857</v>
      </c>
      <c r="L72" s="5" t="n">
        <v>326.73</v>
      </c>
      <c r="M72" s="7">
        <f>IFERROR(IF(E72="Short",-1,1)*(IF(K72&lt;&gt;"",K72,L72)/J72-1),"")</f>
        <v/>
      </c>
      <c r="N72" s="6">
        <f>IFERROR(I72*(IF(K72&lt;&gt;"",K72,L72)-J72),"")</f>
        <v/>
      </c>
      <c r="O72" s="8" t="n">
        <v>0.45</v>
      </c>
      <c r="P72" s="2" t="n"/>
      <c r="Q72" s="9" t="inlineStr">
        <is>
          <t>CEO Hock Tan's Oct 12-15 'casino' warning on AI spending hit custom-chip names and still overhangs AVGO, with unresolved AI funding concerns (Anthropic $42B loan, Oracle/SpaceX debt). Fresh VMware wins (NTT DOCOMO Oct 19, FedEx Oct 20) are incremental. Expect modest relative weakness. | horizon 3 days; exit if: Broadcom raises AI revenue guidance or reports accelerating AI chip sales; CEO Hock Tan retracts or clarifies 'casino' warning on AI spending; Anthropic secures $42B loan and AI funding concerns ease</t>
        </is>
      </c>
    </row>
    <row r="73">
      <c r="A73" s="2" t="inlineStr">
        <is>
          <t>2026-10-21</t>
        </is>
      </c>
      <c r="B73" s="2" t="inlineStr">
        <is>
          <t>BA</t>
        </is>
      </c>
      <c r="C73" s="2" t="inlineStr">
        <is>
          <t>BA</t>
        </is>
      </c>
      <c r="D73" s="2" t="inlineStr">
        <is>
          <t>position (lifecycle)</t>
        </is>
      </c>
      <c r="E73" s="2" t="inlineStr">
        <is>
          <t>Long</t>
        </is>
      </c>
      <c r="F73" s="2" t="inlineStr">
        <is>
          <t>Closed</t>
        </is>
      </c>
      <c r="G73" s="2" t="inlineStr">
        <is>
          <t>2026-10-22</t>
        </is>
      </c>
      <c r="H73" s="2" t="inlineStr">
        <is>
          <t>2026-10-27</t>
        </is>
      </c>
      <c r="I73" s="4" t="n">
        <v>13</v>
      </c>
      <c r="J73" s="5" t="n">
        <v>187.465385</v>
      </c>
      <c r="K73" s="5" t="n">
        <v>168.09</v>
      </c>
      <c r="L73" s="5" t="n">
        <v>171.95</v>
      </c>
      <c r="M73" s="7">
        <f>IFERROR(IF(E73="Short",-1,1)*(IF(K73&lt;&gt;"",K73,L73)/J73-1),"")</f>
        <v/>
      </c>
      <c r="N73" s="6">
        <f>IFERROR(I73*(IF(K73&lt;&gt;"",K73,L73)-J73),"")</f>
        <v/>
      </c>
      <c r="O73" s="8" t="n">
        <v>0.55</v>
      </c>
      <c r="P73" s="2" t="n"/>
      <c r="Q73" s="9" t="inlineStr">
        <is>
          <t>FAA certification of 737 MAX 10 on Oct 20-21 is a material positive, unlocking deliveries of 1,555 ordered jets and lifting the orders story to 35% share. GE Aerospace's beat/raise confirms strong demand. But BA reports Q3 on Oct 27, a binary event, and recent PT cuts cap conviction. | horizon 5 days; exit if: FAA suspends or revokes 737 MAX 10 certification; Boeing delays 737 MAX 10 deliveries due to new regulatory or quality issue; Boeing cuts FY guidance or reports major 737 MAX order cancellations</t>
        </is>
      </c>
    </row>
    <row r="74">
      <c r="A74" s="2" t="inlineStr">
        <is>
          <t>2026-10-21</t>
        </is>
      </c>
      <c r="B74" s="2" t="inlineStr">
        <is>
          <t>CRM</t>
        </is>
      </c>
      <c r="C74" s="2" t="inlineStr">
        <is>
          <t>CRM</t>
        </is>
      </c>
      <c r="D74" s="2" t="inlineStr">
        <is>
          <t>position (lifecycle)</t>
        </is>
      </c>
      <c r="E74" s="2" t="inlineStr">
        <is>
          <t>Short</t>
        </is>
      </c>
      <c r="F74" s="2" t="inlineStr">
        <is>
          <t>Closed</t>
        </is>
      </c>
      <c r="G74" s="2" t="inlineStr">
        <is>
          <t>2026-10-22</t>
        </is>
      </c>
      <c r="H74" s="2" t="inlineStr">
        <is>
          <t>2026-10-27</t>
        </is>
      </c>
      <c r="I74" s="4" t="n">
        <v>-18</v>
      </c>
      <c r="J74" s="5" t="n">
        <v>249.838889</v>
      </c>
      <c r="K74" s="5" t="n">
        <v>240.841667</v>
      </c>
      <c r="L74" s="5" t="n">
        <v>232.21</v>
      </c>
      <c r="M74" s="7">
        <f>IFERROR(IF(E74="Short",-1,1)*(IF(K74&lt;&gt;"",K74,L74)/J74-1),"")</f>
        <v/>
      </c>
      <c r="N74" s="6">
        <f>IFERROR(I74*(IF(K74&lt;&gt;"",K74,L74)-J74),"")</f>
        <v/>
      </c>
      <c r="O74" s="8" t="n">
        <v>0.6</v>
      </c>
      <c r="P74" s="2" t="n"/>
      <c r="Q7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75">
      <c r="A75" s="2" t="inlineStr">
        <is>
          <t>2026-10-21</t>
        </is>
      </c>
      <c r="B75" s="2" t="inlineStr">
        <is>
          <t>MMM</t>
        </is>
      </c>
      <c r="C75" s="2" t="inlineStr">
        <is>
          <t>MMM</t>
        </is>
      </c>
      <c r="D75" s="2" t="inlineStr">
        <is>
          <t>position (lifecycle)</t>
        </is>
      </c>
      <c r="E75" s="2" t="inlineStr">
        <is>
          <t>Long</t>
        </is>
      </c>
      <c r="F75" s="2" t="inlineStr">
        <is>
          <t>Closed</t>
        </is>
      </c>
      <c r="G75" s="2" t="inlineStr">
        <is>
          <t>2026-10-22</t>
        </is>
      </c>
      <c r="H75" s="2" t="inlineStr">
        <is>
          <t>2026-10-27</t>
        </is>
      </c>
      <c r="I75" s="4" t="n">
        <v>15</v>
      </c>
      <c r="J75" s="5" t="n">
        <v>175.868</v>
      </c>
      <c r="K75" s="5" t="n">
        <v>171.647334</v>
      </c>
      <c r="L75" s="5" t="n">
        <v>175.51</v>
      </c>
      <c r="M75" s="7">
        <f>IFERROR(IF(E75="Short",-1,1)*(IF(K75&lt;&gt;"",K75,L75)/J75-1),"")</f>
        <v/>
      </c>
      <c r="N75" s="6">
        <f>IFERROR(I75*(IF(K75&lt;&gt;"",K75,L75)-J75),"")</f>
        <v/>
      </c>
      <c r="O75" s="8" t="n">
        <v>0.6</v>
      </c>
      <c r="P75" s="2" t="n"/>
      <c r="Q75" s="9" t="inlineStr">
        <is>
          <t>Oct 19 AWS deal (warrant tied to $6B purchases) and Oct 20 Q3 beat/raised FY guidance are material positives. Stock already jumped 6.25% in 1w, so much is priced; still, data-center momentum and analyst follow-ups can support relative outperformance next week. | horizon 3 days; exit if: 3M announces termination or material reduction of AWS data center partnership; 3M cuts FY2026 EPS guidance below prior range; RBC downgrades 3M or withdraws data-center growth thesis</t>
        </is>
      </c>
    </row>
    <row r="76">
      <c r="A76" s="2" t="inlineStr">
        <is>
          <t>2026-10-07</t>
        </is>
      </c>
      <c r="B76" s="2" t="inlineStr">
        <is>
          <t>MRVL</t>
        </is>
      </c>
      <c r="C76" s="2" t="inlineStr">
        <is>
          <t>MRVL</t>
        </is>
      </c>
      <c r="D76" s="2" t="inlineStr">
        <is>
          <t>position (lifecycle)</t>
        </is>
      </c>
      <c r="E76" s="2" t="inlineStr">
        <is>
          <t>Long</t>
        </is>
      </c>
      <c r="F76" s="2" t="inlineStr">
        <is>
          <t>Closed</t>
        </is>
      </c>
      <c r="G76" s="2" t="inlineStr">
        <is>
          <t>2026-10-15</t>
        </is>
      </c>
      <c r="H76" s="2" t="inlineStr">
        <is>
          <t>2026-10-27</t>
        </is>
      </c>
      <c r="I76" s="4" t="n">
        <v>35</v>
      </c>
      <c r="J76" s="5" t="n">
        <v>242.5640032958985</v>
      </c>
      <c r="K76" s="5" t="n">
        <v>243.820286</v>
      </c>
      <c r="L76" s="5" t="n">
        <v>199.975</v>
      </c>
      <c r="M76" s="7">
        <f>IFERROR(IF(E76="Short",-1,1)*(IF(K76&lt;&gt;"",K76,L76)/J76-1),"")</f>
        <v/>
      </c>
      <c r="N76" s="6">
        <f>IFERROR(I76*(IF(K76&lt;&gt;"",K76,L76)-J76),"")</f>
        <v/>
      </c>
      <c r="O76" s="8" t="n">
        <v>0.68</v>
      </c>
      <c r="P76" s="2" t="n"/>
      <c r="Q76"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77">
      <c r="A77" s="2" t="inlineStr">
        <is>
          <t>2026-10-07</t>
        </is>
      </c>
      <c r="B77" s="2" t="inlineStr">
        <is>
          <t>NKE</t>
        </is>
      </c>
      <c r="C77" s="2" t="inlineStr">
        <is>
          <t>NKE</t>
        </is>
      </c>
      <c r="D77" s="2" t="inlineStr">
        <is>
          <t>position (lifecycle)</t>
        </is>
      </c>
      <c r="E77" s="2" t="inlineStr">
        <is>
          <t>Short</t>
        </is>
      </c>
      <c r="F77" s="2" t="inlineStr">
        <is>
          <t>Closed</t>
        </is>
      </c>
      <c r="G77" s="2" t="inlineStr">
        <is>
          <t>2026-10-15</t>
        </is>
      </c>
      <c r="H77" s="2" t="inlineStr">
        <is>
          <t>2026-10-27</t>
        </is>
      </c>
      <c r="I77" s="4" t="n">
        <v>-256</v>
      </c>
      <c r="J77" s="5" t="n">
        <v>37.23433549165726</v>
      </c>
      <c r="K77" s="5" t="n">
        <v>37.57</v>
      </c>
      <c r="L77" s="5" t="n">
        <v>38.85</v>
      </c>
      <c r="M77" s="7">
        <f>IFERROR(IF(E77="Short",-1,1)*(IF(K77&lt;&gt;"",K77,L77)/J77-1),"")</f>
        <v/>
      </c>
      <c r="N77" s="6">
        <f>IFERROR(I77*(IF(K77&lt;&gt;"",K77,L77)-J77),"")</f>
        <v/>
      </c>
      <c r="O77" s="8" t="n">
        <v>0.65</v>
      </c>
      <c r="P77" s="2" t="n"/>
      <c r="Q77"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78">
      <c r="A78" s="2" t="inlineStr">
        <is>
          <t>2026-10-21</t>
        </is>
      </c>
      <c r="B78" s="2" t="inlineStr">
        <is>
          <t>WMT</t>
        </is>
      </c>
      <c r="C78" s="2" t="inlineStr">
        <is>
          <t>WMT</t>
        </is>
      </c>
      <c r="D78" s="2" t="inlineStr">
        <is>
          <t>position (lifecycle)</t>
        </is>
      </c>
      <c r="E78" s="2" t="inlineStr">
        <is>
          <t>Long</t>
        </is>
      </c>
      <c r="F78" s="2" t="inlineStr">
        <is>
          <t>Closed</t>
        </is>
      </c>
      <c r="G78" s="2" t="inlineStr">
        <is>
          <t>2026-10-22</t>
        </is>
      </c>
      <c r="H78" s="2" t="inlineStr">
        <is>
          <t>2026-10-27</t>
        </is>
      </c>
      <c r="I78" s="4" t="n">
        <v>24</v>
      </c>
      <c r="J78" s="5" t="n">
        <v>121.07</v>
      </c>
      <c r="K78" s="5" t="n">
        <v>119.28</v>
      </c>
      <c r="L78" s="5" t="n">
        <v>123.455</v>
      </c>
      <c r="M78" s="7">
        <f>IFERROR(IF(E78="Short",-1,1)*(IF(K78&lt;&gt;"",K78,L78)/J78-1),"")</f>
        <v/>
      </c>
      <c r="N78" s="6">
        <f>IFERROR(I78*(IF(K78&lt;&gt;"",K78,L78)-J78),"")</f>
        <v/>
      </c>
      <c r="O78" s="8" t="n">
        <v>0.65</v>
      </c>
      <c r="P78" s="2" t="n"/>
      <c r="Q78" s="9" t="inlineStr">
        <is>
          <t>Walmart's new $120 Walmart+/Sam's Club membership bundle (Oct 20) and restaurant delivery expansion drive growth, while Kroger's job cuts signal share gains. Deutsche Bank upgrade (Oct 15) adds sentiment support, though valuation debate limits upside. | horizon 3 days; exit if: Walmart discontinues or withdraws the $120 Walmart+/Sam's Club membership bundle; Sam's Club exits the joint membership bundle; Deutsche Bank downgrades Walmart or removes its Buy rating</t>
        </is>
      </c>
    </row>
    <row r="79">
      <c r="A79" s="2" t="inlineStr">
        <is>
          <t>2026-10-21</t>
        </is>
      </c>
      <c r="B79" s="2" t="inlineStr">
        <is>
          <t>XOM</t>
        </is>
      </c>
      <c r="C79" s="2" t="inlineStr">
        <is>
          <t>XOM</t>
        </is>
      </c>
      <c r="D79" s="2" t="inlineStr">
        <is>
          <t>position (lifecycle)</t>
        </is>
      </c>
      <c r="E79" s="2" t="inlineStr">
        <is>
          <t>Long</t>
        </is>
      </c>
      <c r="F79" s="2" t="inlineStr">
        <is>
          <t>Closed</t>
        </is>
      </c>
      <c r="G79" s="2" t="inlineStr">
        <is>
          <t>2026-10-22</t>
        </is>
      </c>
      <c r="H79" s="2" t="inlineStr">
        <is>
          <t>2026-10-27</t>
        </is>
      </c>
      <c r="I79" s="4" t="n">
        <v>14</v>
      </c>
      <c r="J79" s="5" t="n">
        <v>177.92</v>
      </c>
      <c r="K79" s="5" t="n">
        <v>179.837143</v>
      </c>
      <c r="L79" s="5" t="n">
        <v>186.15</v>
      </c>
      <c r="M79" s="7">
        <f>IFERROR(IF(E79="Short",-1,1)*(IF(K79&lt;&gt;"",K79,L79)/J79-1),"")</f>
        <v/>
      </c>
      <c r="N79" s="6">
        <f>IFERROR(I79*(IF(K79&lt;&gt;"",K79,L79)-J79),"")</f>
        <v/>
      </c>
      <c r="O79" s="8" t="n">
        <v>0.55</v>
      </c>
      <c r="P79" s="2" t="n"/>
      <c r="Q79" s="9" t="inlineStr">
        <is>
          <t>Rising 'Iran War Oil Profits' story (share 9%-&gt;20%) with fresh US-Israel threats pushing Brent above $110 and XOM to 52-week highs on Oct 20. Genuine positive catalyst, but largely priced after +10% month and 0.5% off highs; windfall-tax chatter caps upside. | horizon 3 days; exit if: US-Israel tensions with Iran de-escalate and Brent crude falls below $100; US Congress passes a windfall tax on oil company profits; ExxonMobil issues a profit warning or cuts guidance</t>
        </is>
      </c>
    </row>
    <row r="80">
      <c r="A80" s="2" t="inlineStr">
        <is>
          <t>2026-10-21</t>
        </is>
      </c>
      <c r="B80" s="2" t="inlineStr">
        <is>
          <t>CMG</t>
        </is>
      </c>
      <c r="C80" s="2" t="inlineStr">
        <is>
          <t>CMG</t>
        </is>
      </c>
      <c r="D80" s="2" t="inlineStr">
        <is>
          <t>position (lifecycle)</t>
        </is>
      </c>
      <c r="E80" s="2" t="inlineStr">
        <is>
          <t>Short</t>
        </is>
      </c>
      <c r="F80" s="2" t="inlineStr">
        <is>
          <t>Closed</t>
        </is>
      </c>
      <c r="G80" s="2" t="inlineStr">
        <is>
          <t>2026-10-22</t>
        </is>
      </c>
      <c r="H80" s="2" t="inlineStr">
        <is>
          <t>2026-10-29</t>
        </is>
      </c>
      <c r="I80" s="4" t="n">
        <v>-86</v>
      </c>
      <c r="J80" s="5" t="n">
        <v>28.07</v>
      </c>
      <c r="K80" s="5" t="n">
        <v>31.34</v>
      </c>
      <c r="L80" s="5" t="n">
        <v>32.2</v>
      </c>
      <c r="M80" s="7">
        <f>IFERROR(IF(E80="Short",-1,1)*(IF(K80&lt;&gt;"",K80,L80)/J80-1),"")</f>
        <v/>
      </c>
      <c r="N80" s="6">
        <f>IFERROR(I80*(IF(K80&lt;&gt;"",K80,L80)-J80),"")</f>
        <v/>
      </c>
      <c r="O80" s="8" t="n">
        <v>0.5</v>
      </c>
      <c r="P80" s="2" t="n"/>
      <c r="Q80" s="9" t="inlineStr">
        <is>
          <t>Pre-earnings setup negative: TD Cowen cut to Hold (PT $44→$32) Oct 21 amid broad price-target cuts; Q3 on Oct 28 expected flat EPS with margin and traffic pressure; debunked Starbucks bid removed support. Already -7.9% in a week and earnings is binary, so edge is modest. | horizon 5 days; exit if: Chipotle reports Q3 EPS above consensus and raises FY guidance; Chipotle announces a new takeover bid or strategic investment; Chipotle Q3 same-store sales turn positive with margin expansion</t>
        </is>
      </c>
    </row>
    <row r="81">
      <c r="A81" s="2" t="inlineStr">
        <is>
          <t>2026-10-21</t>
        </is>
      </c>
      <c r="B81" s="2" t="inlineStr">
        <is>
          <t>LRCX</t>
        </is>
      </c>
      <c r="C81" s="2" t="inlineStr">
        <is>
          <t>LRCX</t>
        </is>
      </c>
      <c r="D81" s="2" t="inlineStr">
        <is>
          <t>position (lifecycle)</t>
        </is>
      </c>
      <c r="E81" s="2" t="inlineStr">
        <is>
          <t>Short</t>
        </is>
      </c>
      <c r="F81" s="2" t="inlineStr">
        <is>
          <t>Closed</t>
        </is>
      </c>
      <c r="G81" s="2" t="inlineStr">
        <is>
          <t>2026-10-22</t>
        </is>
      </c>
      <c r="H81" s="2" t="inlineStr">
        <is>
          <t>2026-10-29</t>
        </is>
      </c>
      <c r="I81" s="4" t="n">
        <v>-7</v>
      </c>
      <c r="J81" s="5" t="n">
        <v>230.03</v>
      </c>
      <c r="K81" s="5" t="n">
        <v>254.17</v>
      </c>
      <c r="L81" s="5" t="n">
        <v>238.075</v>
      </c>
      <c r="M81" s="7">
        <f>IFERROR(IF(E81="Short",-1,1)*(IF(K81&lt;&gt;"",K81,L81)/J81-1),"")</f>
        <v/>
      </c>
      <c r="N81" s="6">
        <f>IFERROR(I81*(IF(K81&lt;&gt;"",K81,L81)-J81),"")</f>
        <v/>
      </c>
      <c r="O81" s="8" t="n">
        <v>0.62</v>
      </c>
      <c r="P81" s="2" t="n"/>
      <c r="Q81" s="9" t="inlineStr">
        <is>
          <t>LRCX's Oct 21 fiscal Q1 beat but Q2 guidance only matched, and the outlook 'failed to impress'—shares fell 6% after hours, a fresh, stock-specific negative not yet in the close. With the AI chip selloff intensifying (SOX 8-9 straight down days, chip-equipment historic losing streaks), expect continued relative weakness next week. | horizon 14 days; exit if: Lam Research raises Q2 guidance above consensus; AI chip selloff reverses; SOX index posts multiple up days; Analysts upgrade LRCX to Buy on improved outlook</t>
        </is>
      </c>
    </row>
    <row r="82">
      <c r="A82" s="2" t="inlineStr">
        <is>
          <t>2026-10-28</t>
        </is>
      </c>
      <c r="B82" s="2" t="inlineStr">
        <is>
          <t>MSFT</t>
        </is>
      </c>
      <c r="C82" s="2" t="inlineStr">
        <is>
          <t>MSFT</t>
        </is>
      </c>
      <c r="D82" s="2" t="inlineStr">
        <is>
          <t>position (lifecycle)</t>
        </is>
      </c>
      <c r="E82" s="2" t="inlineStr">
        <is>
          <t>Short</t>
        </is>
      </c>
      <c r="F82" s="2" t="inlineStr">
        <is>
          <t>Closed</t>
        </is>
      </c>
      <c r="G82" s="2" t="inlineStr">
        <is>
          <t>2026-10-22</t>
        </is>
      </c>
      <c r="H82" s="2" t="inlineStr">
        <is>
          <t>2026-10-29</t>
        </is>
      </c>
      <c r="I82" s="4" t="n">
        <v>-5</v>
      </c>
      <c r="J82" s="5" t="n">
        <v>520.91</v>
      </c>
      <c r="K82" s="5" t="n">
        <v>530.426</v>
      </c>
      <c r="L82" s="5" t="n">
        <v>522.1</v>
      </c>
      <c r="M82" s="7">
        <f>IFERROR(IF(E82="Short",-1,1)*(IF(K82&lt;&gt;"",K82,L82)/J82-1),"")</f>
        <v/>
      </c>
      <c r="N82" s="6">
        <f>IFERROR(I82*(IF(K82&lt;&gt;"",K82,L82)-J82),"")</f>
        <v/>
      </c>
      <c r="O82" s="8" t="n">
        <v>0.62</v>
      </c>
      <c r="P82" s="2" t="n"/>
      <c r="Q82" s="9" t="inlineStr">
        <is>
          <t>MSFT handily beat Q1 FY27 estimates on Oct 28 with Azure growth accelerating, a fresh catalyst whose reaction lands in the holding week. Truist ($600) and Oppenheimer ($625) raised targets on Azure momentum; 60,000-worker buyouts show cost discipline funding AI capex. Only 2.3% below highs caps upside. | horizon 25 days; exit if: Microsoft reports Azure growth decelerating below prior quarter; Microsoft cuts FY27 guidance or issues weak cloud outlook; Analysts downgrade MSFT or cut price targets on Azure concerns</t>
        </is>
      </c>
    </row>
    <row r="83">
      <c r="A83" s="2" t="inlineStr">
        <is>
          <t>2026-10-28</t>
        </is>
      </c>
      <c r="B83" s="2" t="inlineStr">
        <is>
          <t>AVGO</t>
        </is>
      </c>
      <c r="C83" s="2" t="inlineStr">
        <is>
          <t>AVGO</t>
        </is>
      </c>
      <c r="D83" s="2" t="inlineStr">
        <is>
          <t>position (lifecycle)</t>
        </is>
      </c>
      <c r="E83" s="2" t="inlineStr">
        <is>
          <t>Long</t>
        </is>
      </c>
      <c r="F83" s="2" t="inlineStr">
        <is>
          <t>Open</t>
        </is>
      </c>
      <c r="G83" s="2" t="inlineStr">
        <is>
          <t>2026-10-29</t>
        </is>
      </c>
      <c r="H83" s="2" t="inlineStr"/>
      <c r="I83" s="4" t="n">
        <v>8</v>
      </c>
      <c r="J83" s="5" t="n">
        <v>344.98</v>
      </c>
      <c r="K83" s="5" t="n"/>
      <c r="L83" s="5" t="n">
        <v>326.73</v>
      </c>
      <c r="M83" s="7">
        <f>IFERROR(IF(E83="Short",-1,1)*(IF(K83&lt;&gt;"",K83,L83)/J83-1),"")</f>
        <v/>
      </c>
      <c r="N83" s="6">
        <f>IFERROR(I83*(IF(K83&lt;&gt;"",K83,L83)-J83),"")</f>
        <v/>
      </c>
      <c r="O83" s="8" t="n">
        <v>0.65</v>
      </c>
      <c r="P83" s="2" t="n"/>
      <c r="Q83" s="9" t="inlineStr">
        <is>
          <t>Broadcom secured $63B financing for Anthropic chips, de-risking AI demand and strengthening its custom chip franchise. Positive catalyst despite banks' initial hesitation; stock already up 4% this week but deal size and new story share suggest follow-through. | horizon 30 days; exit if: Broadcom's Anthropic chip financing deal is terminated or collapses; Anthropic cancels or significantly delays its custom chip orders from Broadcom; Banks withdraw from Broadcom's Anthropic chip financing deal</t>
        </is>
      </c>
    </row>
    <row r="84">
      <c r="A84" s="2" t="inlineStr">
        <is>
          <t>2026-10-28</t>
        </is>
      </c>
      <c r="B84" s="2" t="inlineStr">
        <is>
          <t>BA</t>
        </is>
      </c>
      <c r="C84" s="2" t="inlineStr">
        <is>
          <t>BA</t>
        </is>
      </c>
      <c r="D84" s="2" t="inlineStr">
        <is>
          <t>position (lifecycle)</t>
        </is>
      </c>
      <c r="E84" s="2" t="inlineStr">
        <is>
          <t>Short</t>
        </is>
      </c>
      <c r="F84" s="2" t="inlineStr">
        <is>
          <t>Open</t>
        </is>
      </c>
      <c r="G84" s="2" t="inlineStr">
        <is>
          <t>2026-10-29</t>
        </is>
      </c>
      <c r="H84" s="2" t="inlineStr"/>
      <c r="I84" s="4" t="n">
        <v>-16</v>
      </c>
      <c r="J84" s="5" t="n">
        <v>172.82</v>
      </c>
      <c r="K84" s="5" t="n"/>
      <c r="L84" s="5" t="n">
        <v>171.95</v>
      </c>
      <c r="M84" s="7">
        <f>IFERROR(IF(E84="Short",-1,1)*(IF(K84&lt;&gt;"",K84,L84)/J84-1),"")</f>
        <v/>
      </c>
      <c r="N84" s="6">
        <f>IFERROR(I84*(IF(K84&lt;&gt;"",K84,L84)-J84),"")</f>
        <v/>
      </c>
      <c r="O84" s="8" t="n">
        <v>0.55</v>
      </c>
      <c r="P84" s="2" t="n"/>
      <c r="Q84" s="9" t="inlineStr">
        <is>
          <t>Boeing's Oct 27 Q3 miss (EPS -$0.34 vs -$0.21) came with fresh negative guidance: 737 Max ramp slips to late 2027 on wing shortages, 777X certification mid-2027, and lower 2027 free cash flow. Though the stock already fell 10.7% on Oct 28, forward estimate cuts should keep BA lagging peers next week. | horizon 60 days; exit if: Boeing raises FY2027 free cash flow guidance; 737 Max production ramp accelerates ahead of schedule; FAA certifies 777X ahead of schedule</t>
        </is>
      </c>
    </row>
    <row r="85">
      <c r="A85" s="2" t="inlineStr">
        <is>
          <t>2026-10-28</t>
        </is>
      </c>
      <c r="B85" s="2" t="inlineStr">
        <is>
          <t>GOOGL</t>
        </is>
      </c>
      <c r="C85" s="2" t="inlineStr">
        <is>
          <t>GOOGL</t>
        </is>
      </c>
      <c r="D85" s="2" t="inlineStr">
        <is>
          <t>position (lifecycle)</t>
        </is>
      </c>
      <c r="E85" s="2" t="inlineStr">
        <is>
          <t>Short</t>
        </is>
      </c>
      <c r="F85" s="2" t="inlineStr">
        <is>
          <t>Open</t>
        </is>
      </c>
      <c r="G85" s="2" t="inlineStr">
        <is>
          <t>2026-10-29</t>
        </is>
      </c>
      <c r="H85" s="2" t="inlineStr"/>
      <c r="I85" s="4" t="n">
        <v>-21</v>
      </c>
      <c r="J85" s="5" t="n">
        <v>283.455714</v>
      </c>
      <c r="K85" s="5" t="n"/>
      <c r="L85" s="5" t="n">
        <v>281.95</v>
      </c>
      <c r="M85" s="7">
        <f>IFERROR(IF(E85="Short",-1,1)*(IF(K85&lt;&gt;"",K85,L85)/J85-1),"")</f>
        <v/>
      </c>
      <c r="N85" s="6">
        <f>IFERROR(I85*(IF(K85&lt;&gt;"",K85,L85)-J85),"")</f>
        <v/>
      </c>
      <c r="O85" s="8" t="n">
        <v>0.62</v>
      </c>
      <c r="P85" s="2" t="n"/>
      <c r="Q85" s="9" t="inlineStr">
        <is>
          <t>Alphabet's Q3 revenue miss (Oct 28), with slowing Search growth overshadowing a strong cloud quarter, sent shares down ~7% after hours — a move not yet in the close. That negative reaction should carry into next week, outweighing the loud buy-the-dip and oversold commentary. | horizon 24 days; exit if: Alphabet reports stronger-than-expected Q4 revenue or raises guidance; Search revenue growth reaccelerates above prior trend; Alphabet announces major buyback or capital return that lifts shares</t>
        </is>
      </c>
    </row>
    <row r="86">
      <c r="A86" s="2" t="inlineStr">
        <is>
          <t>2026-10-14</t>
        </is>
      </c>
      <c r="B86" s="2" t="inlineStr">
        <is>
          <t>SPY</t>
        </is>
      </c>
      <c r="C86" s="2" t="inlineStr">
        <is>
          <t>SPDR S&amp;P 500 ETF</t>
        </is>
      </c>
      <c r="D86" s="2" t="inlineStr">
        <is>
          <t>beta hedge</t>
        </is>
      </c>
      <c r="E86" s="2" t="inlineStr">
        <is>
          <t>Short</t>
        </is>
      </c>
      <c r="F86" s="2" t="inlineStr">
        <is>
          <t>Open</t>
        </is>
      </c>
      <c r="G86" s="2" t="inlineStr">
        <is>
          <t>2026-10-21</t>
        </is>
      </c>
      <c r="H86" s="2" t="inlineStr"/>
      <c r="I86" s="4" t="n">
        <v>-44</v>
      </c>
      <c r="J86" s="5" t="n">
        <v>765.9302270909091</v>
      </c>
      <c r="K86" s="5" t="n"/>
      <c r="L86" s="5" t="n">
        <v>758.665</v>
      </c>
      <c r="M86" s="7">
        <f>IFERROR(IF(E86="Short",-1,1)*(IF(K86&lt;&gt;"",K86,L86)/J86-1),"")</f>
        <v/>
      </c>
      <c r="N86" s="6">
        <f>IFERROR(I86*(IF(K86&lt;&gt;"",K86,L86)-J86),"")</f>
        <v/>
      </c>
      <c r="O86" s="8" t="n"/>
      <c r="P86" s="2" t="n"/>
      <c r="Q86" s="9" t="inlineStr">
        <is>
          <t>SPY hedge to zero beta</t>
        </is>
      </c>
    </row>
    <row r="87">
      <c r="A87" s="2" t="inlineStr">
        <is>
          <t>2026-10-28</t>
        </is>
      </c>
      <c r="B87" s="2" t="inlineStr">
        <is>
          <t>MSFT</t>
        </is>
      </c>
      <c r="C87" s="2" t="inlineStr">
        <is>
          <t>MSFT</t>
        </is>
      </c>
      <c r="D87" s="2" t="inlineStr">
        <is>
          <t>position (lifecycle)</t>
        </is>
      </c>
      <c r="E87" s="2" t="inlineStr">
        <is>
          <t>Long</t>
        </is>
      </c>
      <c r="F87" s="2" t="inlineStr">
        <is>
          <t>Open</t>
        </is>
      </c>
      <c r="G87" s="2" t="inlineStr">
        <is>
          <t>2026-10-29</t>
        </is>
      </c>
      <c r="H87" s="2" t="inlineStr"/>
      <c r="I87" s="4" t="n">
        <v>10</v>
      </c>
      <c r="J87" s="5" t="n">
        <v>530.2380000000001</v>
      </c>
      <c r="K87" s="5" t="n"/>
      <c r="L87" s="5" t="n">
        <v>522.1</v>
      </c>
      <c r="M87" s="7">
        <f>IFERROR(IF(E87="Short",-1,1)*(IF(K87&lt;&gt;"",K87,L87)/J87-1),"")</f>
        <v/>
      </c>
      <c r="N87" s="6">
        <f>IFERROR(I87*(IF(K87&lt;&gt;"",K87,L87)-J87),"")</f>
        <v/>
      </c>
      <c r="O87" s="8" t="n">
        <v>0.62</v>
      </c>
      <c r="P87" s="2" t="n"/>
      <c r="Q87" s="9" t="inlineStr">
        <is>
          <t>MSFT handily beat Q1 FY27 estimates on Oct 28 with Azure growth accelerating, a fresh catalyst whose reaction lands in the holding week. Truist ($600) and Oppenheimer ($625) raised targets on Azure momentum; 60,000-worker buyouts show cost discipline funding AI capex. Only 2.3% below highs caps upside. | horizon 25 days; exit if: Microsoft reports Azure growth decelerating below prior quarter; Microsoft cuts FY27 guidance or issues weak cloud outlook; Analysts downgrade MSFT or cut price targets on Azure concerns</t>
        </is>
      </c>
    </row>
    <row r="88">
      <c r="A88" s="2" t="inlineStr">
        <is>
          <t>2026-10-21</t>
        </is>
      </c>
      <c r="B88" s="2" t="inlineStr">
        <is>
          <t>NFLX</t>
        </is>
      </c>
      <c r="C88" s="2" t="inlineStr">
        <is>
          <t>NFLX</t>
        </is>
      </c>
      <c r="D88" s="2" t="inlineStr">
        <is>
          <t>position (lifecycle)</t>
        </is>
      </c>
      <c r="E88" s="2" t="inlineStr">
        <is>
          <t>Short</t>
        </is>
      </c>
      <c r="F88" s="2" t="inlineStr">
        <is>
          <t>Open</t>
        </is>
      </c>
      <c r="G88" s="2" t="inlineStr">
        <is>
          <t>2026-10-22</t>
        </is>
      </c>
      <c r="H88" s="2" t="inlineStr"/>
      <c r="I88" s="4" t="n">
        <v>-67</v>
      </c>
      <c r="J88" s="5" t="n">
        <v>65.86089552238806</v>
      </c>
      <c r="K88" s="5" t="n"/>
      <c r="L88" s="5" t="n">
        <v>62.485</v>
      </c>
      <c r="M88" s="7">
        <f>IFERROR(IF(E88="Short",-1,1)*(IF(K88&lt;&gt;"",K88,L88)/J88-1),"")</f>
        <v/>
      </c>
      <c r="N88" s="6">
        <f>IFERROR(I88*(IF(K88&lt;&gt;"",K88,L88)-J88),"")</f>
        <v/>
      </c>
      <c r="O88" s="8" t="n">
        <v>0.58</v>
      </c>
      <c r="P88" s="2" t="n"/>
      <c r="Q88" s="9" t="inlineStr">
        <is>
          <t>Oct 20 Q3 beat was overwhelmed by a trimmed 2026 ad-revenue outlook ($2.7B), FCF cut to ~$12B, and weak Q4 guide — fourth straight quarter of slowing growth. Post-earnings drift, likely analyst cuts, plus the Oct 14-16 layoffs and content-chief exit keep pressure next week. Deeply oversold already, so sizing modest. | horizon 14 days; exit if: Netflix raises its full-year revenue or ad-revenue guidance; Netflix reports accelerating subscriber growth or strong Q4 guidance; Netflix announces a major content hit or partnership that boosts growth outlook</t>
        </is>
      </c>
    </row>
    <row r="89">
      <c r="A89" s="2" t="inlineStr">
        <is>
          <t>2026-10-21</t>
        </is>
      </c>
      <c r="B89" s="2" t="inlineStr">
        <is>
          <t>SMCI</t>
        </is>
      </c>
      <c r="C89" s="2" t="inlineStr">
        <is>
          <t>SMCI</t>
        </is>
      </c>
      <c r="D89" s="2" t="inlineStr">
        <is>
          <t>position (lifecycle)</t>
        </is>
      </c>
      <c r="E89" s="2" t="inlineStr">
        <is>
          <t>Long</t>
        </is>
      </c>
      <c r="F89" s="2" t="inlineStr">
        <is>
          <t>Open</t>
        </is>
      </c>
      <c r="G89" s="2" t="inlineStr">
        <is>
          <t>2026-10-22</t>
        </is>
      </c>
      <c r="H89" s="2" t="inlineStr"/>
      <c r="I89" s="4" t="n">
        <v>266</v>
      </c>
      <c r="J89" s="5" t="n">
        <v>33.45947565543072</v>
      </c>
      <c r="K89" s="5" t="n"/>
      <c r="L89" s="5" t="n">
        <v>32.58</v>
      </c>
      <c r="M89" s="7">
        <f>IFERROR(IF(E89="Short",-1,1)*(IF(K89&lt;&gt;"",K89,L89)/J89-1),"")</f>
        <v/>
      </c>
      <c r="N89" s="6">
        <f>IFERROR(I89*(IF(K89&lt;&gt;"",K89,L89)-J89),"")</f>
        <v/>
      </c>
      <c r="O89" s="8" t="n">
        <v>0.65</v>
      </c>
      <c r="P89" s="2" t="n"/>
      <c r="Q89" s="9" t="inlineStr">
        <is>
          <t>Oct 20-21 preliminary Q1 FY27 revenue outlook raised to $18.5-19.5B from $14.5-15.5B, with higher gross margins and a record $60B backlog. Despite an 11% surge, the stock is still down 14% in a month and 35% below its 52-week high, so the positive guidance is not fully priced. New CFO adds confidence. | horizon 13 days; exit if: Company cuts or withdraws its raised FY27 revenue outlook; Backlog falls below $60B or major orders are cancelled; Gross margin guidance is reduced or new CFO departs</t>
        </is>
      </c>
    </row>
    <row r="90">
      <c r="A90" s="2" t="inlineStr">
        <is>
          <t>2026-10-21</t>
        </is>
      </c>
      <c r="B90" s="2" t="inlineStr">
        <is>
          <t>TSLA</t>
        </is>
      </c>
      <c r="C90" s="2" t="inlineStr">
        <is>
          <t>TSLA</t>
        </is>
      </c>
      <c r="D90" s="2" t="inlineStr">
        <is>
          <t>position (lifecycle)</t>
        </is>
      </c>
      <c r="E90" s="2" t="inlineStr">
        <is>
          <t>Long</t>
        </is>
      </c>
      <c r="F90" s="2" t="inlineStr">
        <is>
          <t>Open</t>
        </is>
      </c>
      <c r="G90" s="2" t="inlineStr">
        <is>
          <t>2026-10-22</t>
        </is>
      </c>
      <c r="H90" s="2" t="inlineStr"/>
      <c r="I90" s="4" t="n">
        <v>20</v>
      </c>
      <c r="J90" s="5" t="n">
        <v>374.1460002</v>
      </c>
      <c r="K90" s="5" t="n"/>
      <c r="L90" s="5" t="n">
        <v>402.55</v>
      </c>
      <c r="M90" s="7">
        <f>IFERROR(IF(E90="Short",-1,1)*(IF(K90&lt;&gt;"",K90,L90)/J90-1),"")</f>
        <v/>
      </c>
      <c r="N90" s="6">
        <f>IFERROR(I90*(IF(K90&lt;&gt;"",K90,L90)-J90),"")</f>
        <v/>
      </c>
      <c r="O90" s="8" t="n">
        <v>0.55</v>
      </c>
      <c r="P90" s="2" t="n"/>
      <c r="Q90" s="9" t="inlineStr">
        <is>
          <t>Tesla-SpaceX merger is a new, sharply rising story: Musk confirmed on the Oct 20 SpaceX earnings call that both boards formed special committees and called a tie-up 'a good idea'; Barclays sees an announcement before December's AGM. SpaceX's Q3 beat and soaring valuation amplify the read-through, outweighing soft Q3 auto profits. | horizon 4 days; exit if: Tesla or SpaceX board denies merger talks or disbands special committee; Merger exploration formally terminated or abandoned; Musk walks back merger comments, says tie-up not planned</t>
        </is>
      </c>
    </row>
    <row r="91">
      <c r="A91" s="2" t="inlineStr">
        <is>
          <t>2026-10-21</t>
        </is>
      </c>
      <c r="B91" s="2" t="inlineStr">
        <is>
          <t>AAPL</t>
        </is>
      </c>
      <c r="C91" s="2" t="inlineStr">
        <is>
          <t>AAPL</t>
        </is>
      </c>
      <c r="D91" s="2" t="inlineStr">
        <is>
          <t>position (lifecycle)</t>
        </is>
      </c>
      <c r="E91" s="2" t="inlineStr">
        <is>
          <t>Short</t>
        </is>
      </c>
      <c r="F91" s="2" t="inlineStr">
        <is>
          <t>Open</t>
        </is>
      </c>
      <c r="G91" s="2" t="inlineStr">
        <is>
          <t>2026-10-22</t>
        </is>
      </c>
      <c r="H91" s="2" t="inlineStr"/>
      <c r="I91" s="4" t="n">
        <v>-7</v>
      </c>
      <c r="J91" s="5" t="n">
        <v>348.188571</v>
      </c>
      <c r="K91" s="5" t="n"/>
      <c r="L91" s="5" t="n">
        <v>347.605</v>
      </c>
      <c r="M91" s="7">
        <f>IFERROR(IF(E91="Short",-1,1)*(IF(K91&lt;&gt;"",K91,L91)/J91-1),"")</f>
        <v/>
      </c>
      <c r="N91" s="6">
        <f>IFERROR(I91*(IF(K91&lt;&gt;"",K91,L91)-J91),"")</f>
        <v/>
      </c>
      <c r="O91" s="8" t="n">
        <v>0.5</v>
      </c>
      <c r="P91" s="2" t="n"/>
      <c r="Q91" s="9" t="inlineStr">
        <is>
          <t>Foldable iPhone Duo preorder frenzy (Oct 16, backordered to 2027) is a positive, but core iPhone 18 demand weakness is intensifying with fresh downgrades (Loop Capital Oct 20, UBS, Jefferies, KeyBanc) and OpenAI trade-secret counterclaims. At an all-time high on stretched valuation, this week's news tilts modestly negative. | horizon 8 days; exit if: Apple reports stronger-than-expected iPhone 18 demand or raises forward guidance; Analysts upgrade Apple, citing improving iPhone demand and attractive valuation; OpenAI trade-secret claims dismissed or settled without material Apple liability</t>
        </is>
      </c>
    </row>
    <row r="92">
      <c r="A92" s="2" t="inlineStr">
        <is>
          <t>2026-10-21</t>
        </is>
      </c>
      <c r="B92" s="2" t="inlineStr">
        <is>
          <t>CSX</t>
        </is>
      </c>
      <c r="C92" s="2" t="inlineStr">
        <is>
          <t>CSX</t>
        </is>
      </c>
      <c r="D92" s="2" t="inlineStr">
        <is>
          <t>position (lifecycle)</t>
        </is>
      </c>
      <c r="E92" s="2" t="inlineStr">
        <is>
          <t>Long</t>
        </is>
      </c>
      <c r="F92" s="2" t="inlineStr">
        <is>
          <t>Open</t>
        </is>
      </c>
      <c r="G92" s="2" t="inlineStr">
        <is>
          <t>2026-10-22</t>
        </is>
      </c>
      <c r="H92" s="2" t="inlineStr"/>
      <c r="I92" s="4" t="n">
        <v>175</v>
      </c>
      <c r="J92" s="5" t="n">
        <v>51.40897145714285</v>
      </c>
      <c r="K92" s="5" t="n"/>
      <c r="L92" s="5" t="n">
        <v>51.455</v>
      </c>
      <c r="M92" s="7">
        <f>IFERROR(IF(E92="Short",-1,1)*(IF(K92&lt;&gt;"",K92,L92)/J92-1),"")</f>
        <v/>
      </c>
      <c r="N92" s="6">
        <f>IFERROR(I92*(IF(K92&lt;&gt;"",K92,L92)-J92),"")</f>
        <v/>
      </c>
      <c r="O92" s="8" t="n">
        <v>0.66</v>
      </c>
      <c r="P92" s="2" t="n"/>
      <c r="Q92" s="9" t="inlineStr">
        <is>
          <t>CSX reported Q3 2026 on Oct 21 with a clear beat: record $4.02B revenue (+12%), EPS $0.57 (+54%, +9.6% surprise) and operating margin up 880bps to 39.1%. Stock was flat into the print (+0.25% 1w), so the news is not yet priced. Expect a positive reaction next week. | horizon 14 days; exit if: CSX issues weak Q4 or FY guidance; CSX reports operating margin contraction or volume decline; Peer railroads UNP/NSC report disappointing earnings and negative sector outlook</t>
        </is>
      </c>
    </row>
    <row r="93">
      <c r="A93" s="2" t="inlineStr">
        <is>
          <t>2026-10-21</t>
        </is>
      </c>
      <c r="B93" s="2" t="inlineStr">
        <is>
          <t>HAS</t>
        </is>
      </c>
      <c r="C93" s="2" t="inlineStr">
        <is>
          <t>HAS</t>
        </is>
      </c>
      <c r="D93" s="2" t="inlineStr">
        <is>
          <t>position (lifecycle)</t>
        </is>
      </c>
      <c r="E93" s="2" t="inlineStr">
        <is>
          <t>Long</t>
        </is>
      </c>
      <c r="F93" s="2" t="inlineStr">
        <is>
          <t>Open</t>
        </is>
      </c>
      <c r="G93" s="2" t="inlineStr">
        <is>
          <t>2026-10-22</t>
        </is>
      </c>
      <c r="H93" s="2" t="inlineStr"/>
      <c r="I93" s="4" t="n">
        <v>21</v>
      </c>
      <c r="J93" s="5" t="n">
        <v>117.22</v>
      </c>
      <c r="K93" s="5" t="n"/>
      <c r="L93" s="5" t="n">
        <v>119.165</v>
      </c>
      <c r="M93" s="7">
        <f>IFERROR(IF(E93="Short",-1,1)*(IF(K93&lt;&gt;"",K93,L93)/J93-1),"")</f>
        <v/>
      </c>
      <c r="N93" s="6">
        <f>IFERROR(I93*(IF(K93&lt;&gt;"",K93,L93)-J93),"")</f>
        <v/>
      </c>
      <c r="O93" s="8" t="n">
        <v>0.55</v>
      </c>
      <c r="P93" s="2" t="n"/>
      <c r="Q93" s="9" t="inlineStr">
        <is>
          <t>Q3 beat (Oct 20) with Magic &gt;$600M, raised FY26 outlook, doubled buyback; new Magic story dominates coverage. Positive but stock already +19% in week at 52w high, so edge is modest. | horizon 13 days; exit if: Hasbro cuts or withdraws its raised FY2026 sales guidance; Magic: The Gathering quarterly revenue falls below $600M or declines year-over-year; Hasbro reduces, suspends, or abandons its doubled buyback target</t>
        </is>
      </c>
    </row>
    <row r="94">
      <c r="A94" s="2" t="inlineStr">
        <is>
          <t>2026-10-21</t>
        </is>
      </c>
      <c r="B94" s="2" t="inlineStr">
        <is>
          <t>ROL</t>
        </is>
      </c>
      <c r="C94" s="2" t="inlineStr">
        <is>
          <t>ROL</t>
        </is>
      </c>
      <c r="D94" s="2" t="inlineStr">
        <is>
          <t>position (lifecycle)</t>
        </is>
      </c>
      <c r="E94" s="2" t="inlineStr">
        <is>
          <t>Short</t>
        </is>
      </c>
      <c r="F94" s="2" t="inlineStr">
        <is>
          <t>Open</t>
        </is>
      </c>
      <c r="G94" s="2" t="inlineStr">
        <is>
          <t>2026-10-22</t>
        </is>
      </c>
      <c r="H94" s="2" t="inlineStr"/>
      <c r="I94" s="4" t="n">
        <v>-283</v>
      </c>
      <c r="J94" s="5" t="n">
        <v>35.04272084805654</v>
      </c>
      <c r="K94" s="5" t="n"/>
      <c r="L94" s="5" t="n">
        <v>34.795</v>
      </c>
      <c r="M94" s="7">
        <f>IFERROR(IF(E94="Short",-1,1)*(IF(K94&lt;&gt;"",K94,L94)/J94-1),"")</f>
        <v/>
      </c>
      <c r="N94" s="6">
        <f>IFERROR(I94*(IF(K94&lt;&gt;"",K94,L94)-J94),"")</f>
        <v/>
      </c>
      <c r="O94" s="8" t="n">
        <v>0.72</v>
      </c>
      <c r="P94" s="2" t="n"/>
      <c r="Q94" s="9" t="inlineStr">
        <is>
          <t>Q3 2026 results (Oct 21) missed revenue and EPS, with sales up only 6.2% and the stock down 7%. This confirms the new 'earnings misses' narrative and follows Oct 19 price-target cuts. The dividend hike is a minor offset; fresh miss should pressure ROL next week versus peers. | horizon 14 days; exit if: Rollins reports better-than-expected revenue and EPS in Q4 2026; Rollins raises full-year 2026 revenue and EPS guidance; Analyst upgrades Rollins to Buy or Overweight</t>
        </is>
      </c>
    </row>
    <row r="95">
      <c r="A95" s="2" t="inlineStr">
        <is>
          <t>2026-10-28</t>
        </is>
      </c>
      <c r="B95" s="2" t="inlineStr">
        <is>
          <t>BIIB</t>
        </is>
      </c>
      <c r="C95" s="2" t="inlineStr">
        <is>
          <t>BIIB</t>
        </is>
      </c>
      <c r="D95" s="2" t="inlineStr">
        <is>
          <t>position (lifecycle)</t>
        </is>
      </c>
      <c r="E95" s="2" t="inlineStr">
        <is>
          <t>Long</t>
        </is>
      </c>
      <c r="F95" s="2" t="inlineStr">
        <is>
          <t>Open</t>
        </is>
      </c>
      <c r="G95" s="2" t="inlineStr">
        <is>
          <t>2026-10-29</t>
        </is>
      </c>
      <c r="H95" s="2" t="inlineStr"/>
      <c r="I95" s="4" t="n">
        <v>21</v>
      </c>
      <c r="J95" s="5" t="n">
        <v>249.94</v>
      </c>
      <c r="K95" s="5" t="n"/>
      <c r="L95" s="5" t="n">
        <v>252.435</v>
      </c>
      <c r="M95" s="7">
        <f>IFERROR(IF(E95="Short",-1,1)*(IF(K95&lt;&gt;"",K95,L95)/J95-1),"")</f>
        <v/>
      </c>
      <c r="N95" s="6">
        <f>IFERROR(I95*(IF(K95&lt;&gt;"",K95,L95)-J95),"")</f>
        <v/>
      </c>
      <c r="O95" s="8" t="n">
        <v>0.6</v>
      </c>
      <c r="P95" s="2" t="n"/>
      <c r="Q95" s="9" t="inlineStr">
        <is>
          <t>Biogen's Oct 28 Q3 beat (EPS $2.62 vs $2.02, rev $2.80bn +10.6%) with a raised FY profit floor and growth drugs +49% is fresh, material news. The muted same-week reaction (+1.3%) points to underreaction and post-earnings drift. Leqembi sales (Y32.2bn) reinforce the growth pivot. Near-52w-high valuation is the main risk. | horizon 37 days; exit if: Biogen cuts or withdraws its FY2026 EPS guidance; Leqembi quarterly sales decline or growth-product growth stalls; Q4 results miss estimates, reversing the post-earnings drift</t>
        </is>
      </c>
    </row>
    <row r="96">
      <c r="A96" s="2" t="inlineStr">
        <is>
          <t>2026-10-28</t>
        </is>
      </c>
      <c r="B96" s="2" t="inlineStr">
        <is>
          <t>BRO</t>
        </is>
      </c>
      <c r="C96" s="2" t="inlineStr">
        <is>
          <t>BRO</t>
        </is>
      </c>
      <c r="D96" s="2" t="inlineStr">
        <is>
          <t>position (lifecycle)</t>
        </is>
      </c>
      <c r="E96" s="2" t="inlineStr">
        <is>
          <t>Short</t>
        </is>
      </c>
      <c r="F96" s="2" t="inlineStr">
        <is>
          <t>Open</t>
        </is>
      </c>
      <c r="G96" s="2" t="inlineStr">
        <is>
          <t>2026-10-29</t>
        </is>
      </c>
      <c r="H96" s="2" t="inlineStr"/>
      <c r="I96" s="4" t="n">
        <v>-43</v>
      </c>
      <c r="J96" s="5" t="n">
        <v>67.88</v>
      </c>
      <c r="K96" s="5" t="n"/>
      <c r="L96" s="5" t="n">
        <v>68.435</v>
      </c>
      <c r="M96" s="7">
        <f>IFERROR(IF(E96="Short",-1,1)*(IF(K96&lt;&gt;"",K96,L96)/J96-1),"")</f>
        <v/>
      </c>
      <c r="N96" s="6">
        <f>IFERROR(I96*(IF(K96&lt;&gt;"",K96,L96)-J96),"")</f>
        <v/>
      </c>
      <c r="O96" s="8" t="n">
        <v>0.6</v>
      </c>
      <c r="P96" s="2" t="n"/>
      <c r="Q96" s="9" t="inlineStr">
        <is>
          <t>BRO's Oct 26 Q3 miss (EPS $1.07 vs $1.09; sales $1.725B vs $1.757B) with just 1.2% organic growth and margin contraction is a fresh, dominant negative story. Peer Aon beat with 6% organic growth, sharpening the relative read. Miss is partly priced after the 5% drop, so moderate conviction short. | horizon 3 days; exit if: Brown &amp; Brown reports organic revenue growth reaccelerating above 5% in a subsequent quarter; Brown &amp; Brown raises full-year guidance or reports margin expansion; Analysts upgrade Brown &amp; Brown citing improving organic growth and margins</t>
        </is>
      </c>
    </row>
    <row r="97">
      <c r="A97" s="2" t="inlineStr">
        <is>
          <t>2026-10-28</t>
        </is>
      </c>
      <c r="B97" s="2" t="inlineStr">
        <is>
          <t>BSX</t>
        </is>
      </c>
      <c r="C97" s="2" t="inlineStr">
        <is>
          <t>BSX</t>
        </is>
      </c>
      <c r="D97" s="2" t="inlineStr">
        <is>
          <t>position (lifecycle)</t>
        </is>
      </c>
      <c r="E97" s="2" t="inlineStr">
        <is>
          <t>Short</t>
        </is>
      </c>
      <c r="F97" s="2" t="inlineStr">
        <is>
          <t>Open</t>
        </is>
      </c>
      <c r="G97" s="2" t="inlineStr">
        <is>
          <t>2026-10-29</t>
        </is>
      </c>
      <c r="H97" s="2" t="inlineStr"/>
      <c r="I97" s="4" t="n">
        <v>-138</v>
      </c>
      <c r="J97" s="5" t="n">
        <v>42.69</v>
      </c>
      <c r="K97" s="5" t="n"/>
      <c r="L97" s="5" t="n">
        <v>42.755</v>
      </c>
      <c r="M97" s="7">
        <f>IFERROR(IF(E97="Short",-1,1)*(IF(K97&lt;&gt;"",K97,L97)/J97-1),"")</f>
        <v/>
      </c>
      <c r="N97" s="6">
        <f>IFERROR(I97*(IF(K97&lt;&gt;"",K97,L97)-J97),"")</f>
        <v/>
      </c>
      <c r="O97" s="8" t="n">
        <v>0.6</v>
      </c>
      <c r="P97" s="2" t="n"/>
      <c r="Q97" s="9" t="inlineStr">
        <is>
          <t>Oct 28 Q3 beat masked a third FY26 guidance cut: Q4 EPS $0.77-0.79 vs $0.84, sales below consensus, 200-300bps cyberattack hit, Q4 organic -1% to -3%, plus 2027 China/EP/Watchman headwinds. Fresh, material negative with likely analyst downgrades and post-earnings drift; news not fully digested. | horizon 63 days; exit if: Boston Scientific raises or restores its FY2026 guidance; Company reports cyberattack impact resolved with no Q4 revenue hit; Q4 organic revenue grows instead of declining 1% to 3%</t>
        </is>
      </c>
    </row>
    <row r="98">
      <c r="A98" s="2" t="inlineStr">
        <is>
          <t>2026-10-28</t>
        </is>
      </c>
      <c r="B98" s="2" t="inlineStr">
        <is>
          <t>CDNS</t>
        </is>
      </c>
      <c r="C98" s="2" t="inlineStr">
        <is>
          <t>CDNS</t>
        </is>
      </c>
      <c r="D98" s="2" t="inlineStr">
        <is>
          <t>position (lifecycle)</t>
        </is>
      </c>
      <c r="E98" s="2" t="inlineStr">
        <is>
          <t>Long</t>
        </is>
      </c>
      <c r="F98" s="2" t="inlineStr">
        <is>
          <t>Open</t>
        </is>
      </c>
      <c r="G98" s="2" t="inlineStr">
        <is>
          <t>2026-10-29</t>
        </is>
      </c>
      <c r="H98" s="2" t="inlineStr"/>
      <c r="I98" s="4" t="n">
        <v>8</v>
      </c>
      <c r="J98" s="5" t="n">
        <v>342.300001</v>
      </c>
      <c r="K98" s="5" t="n"/>
      <c r="L98" s="5" t="n">
        <v>330.29</v>
      </c>
      <c r="M98" s="7">
        <f>IFERROR(IF(E98="Short",-1,1)*(IF(K98&lt;&gt;"",K98,L98)/J98-1),"")</f>
        <v/>
      </c>
      <c r="N98" s="6">
        <f>IFERROR(I98*(IF(K98&lt;&gt;"",K98,L98)-J98),"")</f>
        <v/>
      </c>
      <c r="O98" s="8" t="n">
        <v>0.6</v>
      </c>
      <c r="P98" s="2" t="n"/>
      <c r="Q98" s="9" t="inlineStr">
        <is>
          <t>Oct 26 Q3 beat-and-raise (EPS $2.11 vs $2.04, revenue +22% to $1.63B, record backlog, third 2026 outlook raise) plus a new $2.5B buyback and clustered analyst PT hikes (Needham $430, Baird $440) create fresh positive momentum. News partly priced after a 5% weekly pop, so expect modest post-earnings drift, not a repeat surge. | horizon 3 days; exit if: Cadence cuts its FY2026 guidance; Cadence reports Q4 revenue below its guidance; Cadence cancels or reduces its $2.5B buyback plan</t>
        </is>
      </c>
    </row>
    <row r="99">
      <c r="A99" s="2" t="inlineStr">
        <is>
          <t>2026-10-28</t>
        </is>
      </c>
      <c r="B99" s="2" t="inlineStr">
        <is>
          <t>CRL</t>
        </is>
      </c>
      <c r="C99" s="2" t="inlineStr">
        <is>
          <t>CRL</t>
        </is>
      </c>
      <c r="D99" s="2" t="inlineStr">
        <is>
          <t>position (lifecycle)</t>
        </is>
      </c>
      <c r="E99" s="2" t="inlineStr">
        <is>
          <t>Short</t>
        </is>
      </c>
      <c r="F99" s="2" t="inlineStr">
        <is>
          <t>Open</t>
        </is>
      </c>
      <c r="G99" s="2" t="inlineStr">
        <is>
          <t>2026-10-29</t>
        </is>
      </c>
      <c r="H99" s="2" t="inlineStr"/>
      <c r="I99" s="4" t="n">
        <v>-7</v>
      </c>
      <c r="J99" s="5" t="n">
        <v>375.748571</v>
      </c>
      <c r="K99" s="5" t="n"/>
      <c r="L99" s="5" t="n">
        <v>359.295</v>
      </c>
      <c r="M99" s="7">
        <f>IFERROR(IF(E99="Short",-1,1)*(IF(K99&lt;&gt;"",K99,L99)/J99-1),"")</f>
        <v/>
      </c>
      <c r="N99" s="6">
        <f>IFERROR(I99*(IF(K99&lt;&gt;"",K99,L99)-J99),"")</f>
        <v/>
      </c>
      <c r="O99" s="8" t="n">
        <v>0.5</v>
      </c>
      <c r="P99" s="2" t="n"/>
      <c r="Q99" s="9" t="inlineStr">
        <is>
          <t>CRL enters its Nov 4 Q3 print at a 52-week high, +26.8% in a month, with the 'stock rally/overvaluation' story surging to 41% of coverage. Zacks flags a -0.48% Earnings ESP and 4.8% revenue decline, signaling consensus risk into a binary event. Positive FDA/Labcorp and Ipsen items are immaterial to revenue; fade the crowded run-up. | horizon 5 days; exit if: CRL reports revenue growth or positive Earnings ESP; Major unexpected positive business development announced</t>
        </is>
      </c>
    </row>
    <row r="100">
      <c r="A100" s="2" t="inlineStr">
        <is>
          <t>2026-10-28</t>
        </is>
      </c>
      <c r="B100" s="2" t="inlineStr">
        <is>
          <t>EQIX</t>
        </is>
      </c>
      <c r="C100" s="2" t="inlineStr">
        <is>
          <t>EQIX</t>
        </is>
      </c>
      <c r="D100" s="2" t="inlineStr">
        <is>
          <t>position (lifecycle)</t>
        </is>
      </c>
      <c r="E100" s="2" t="inlineStr">
        <is>
          <t>Long</t>
        </is>
      </c>
      <c r="F100" s="2" t="inlineStr">
        <is>
          <t>Open</t>
        </is>
      </c>
      <c r="G100" s="2" t="inlineStr">
        <is>
          <t>2026-10-29</t>
        </is>
      </c>
      <c r="H100" s="2" t="inlineStr"/>
      <c r="I100" s="4" t="n">
        <v>6</v>
      </c>
      <c r="J100" s="5" t="n">
        <v>1036.32</v>
      </c>
      <c r="K100" s="5" t="n"/>
      <c r="L100" s="5" t="n">
        <v>1018.74</v>
      </c>
      <c r="M100" s="7">
        <f>IFERROR(IF(E100="Short",-1,1)*(IF(K100&lt;&gt;"",K100,L100)/J100-1),"")</f>
        <v/>
      </c>
      <c r="N100" s="6">
        <f>IFERROR(I100*(IF(K100&lt;&gt;"",K100,L100)-J100),"")</f>
        <v/>
      </c>
      <c r="O100" s="8" t="n">
        <v>0.7</v>
      </c>
      <c r="P100" s="2" t="n"/>
      <c r="Q100" s="9" t="inlineStr">
        <is>
          <t>Equinix's Oct 28 Q3 print delivered a 10.75% FFO beat, strong EPS, record bookings and a raised 2026 guidance — a concrete positive surprise that resolves the AI-valuation debate in bulls' favor. With the stock only +1.3% on the week and 9% below its high, the beat is not yet priced, supporting next-week outperformance. | horizon 22 days; exit if: Equinix cuts FY 2026 guidance or withdraws outlook; Q3 FFO beat is revised lower or restated; Major AI data center customer cancels or delays leases</t>
        </is>
      </c>
    </row>
    <row r="101">
      <c r="A101" s="2" t="inlineStr">
        <is>
          <t>2026-10-28</t>
        </is>
      </c>
      <c r="B101" s="2" t="inlineStr">
        <is>
          <t>LH</t>
        </is>
      </c>
      <c r="C101" s="2" t="inlineStr">
        <is>
          <t>LH</t>
        </is>
      </c>
      <c r="D101" s="2" t="inlineStr">
        <is>
          <t>position (lifecycle)</t>
        </is>
      </c>
      <c r="E101" s="2" t="inlineStr">
        <is>
          <t>Long</t>
        </is>
      </c>
      <c r="F101" s="2" t="inlineStr">
        <is>
          <t>Open</t>
        </is>
      </c>
      <c r="G101" s="2" t="inlineStr">
        <is>
          <t>2026-10-29</t>
        </is>
      </c>
      <c r="H101" s="2" t="inlineStr"/>
      <c r="I101" s="4" t="n">
        <v>6</v>
      </c>
      <c r="J101" s="5" t="n">
        <v>367.3500000000001</v>
      </c>
      <c r="K101" s="5" t="n"/>
      <c r="L101" s="5" t="n">
        <v>361.3</v>
      </c>
      <c r="M101" s="7">
        <f>IFERROR(IF(E101="Short",-1,1)*(IF(K101&lt;&gt;"",K101,L101)/J101-1),"")</f>
        <v/>
      </c>
      <c r="N101" s="6">
        <f>IFERROR(I101*(IF(K101&lt;&gt;"",K101,L101)-J101),"")</f>
        <v/>
      </c>
      <c r="O101" s="8" t="n">
        <v>0.5</v>
      </c>
      <c r="P101" s="2" t="n"/>
      <c r="Q101" s="9" t="inlineStr">
        <is>
          <t>Labcorp's Oct 28 Q3 beat and raised FY26 guidance is positive, but the stock's 11% weekly gain and 52-week high suggest much is priced. Expect modest relative outperformance from post-earnings drift. | horizon 3 days; exit if: Labcorp cuts or withdraws its FY2026 EPS and sales guidance; Q4 2026 results miss estimates and management signals weakening test volumes; Company discloses reimbursement or pricing pressure that resets full-year outlook lower</t>
        </is>
      </c>
    </row>
    <row r="102">
      <c r="A102" s="2" t="inlineStr">
        <is>
          <t>2026-10-28</t>
        </is>
      </c>
      <c r="B102" s="2" t="inlineStr">
        <is>
          <t>MRNA</t>
        </is>
      </c>
      <c r="C102" s="2" t="inlineStr">
        <is>
          <t>MRNA</t>
        </is>
      </c>
      <c r="D102" s="2" t="inlineStr">
        <is>
          <t>position (lifecycle)</t>
        </is>
      </c>
      <c r="E102" s="2" t="inlineStr">
        <is>
          <t>Short</t>
        </is>
      </c>
      <c r="F102" s="2" t="inlineStr">
        <is>
          <t>Open</t>
        </is>
      </c>
      <c r="G102" s="2" t="inlineStr">
        <is>
          <t>2026-10-29</t>
        </is>
      </c>
      <c r="H102" s="2" t="inlineStr"/>
      <c r="I102" s="4" t="n">
        <v>-12</v>
      </c>
      <c r="J102" s="5" t="n">
        <v>222.609167</v>
      </c>
      <c r="K102" s="5" t="n"/>
      <c r="L102" s="5" t="n">
        <v>224.06</v>
      </c>
      <c r="M102" s="7">
        <f>IFERROR(IF(E102="Short",-1,1)*(IF(K102&lt;&gt;"",K102,L102)/J102-1),"")</f>
        <v/>
      </c>
      <c r="N102" s="6">
        <f>IFERROR(I102*(IF(K102&lt;&gt;"",K102,L102)-J102),"")</f>
        <v/>
      </c>
      <c r="O102" s="8" t="n">
        <v>0.55</v>
      </c>
      <c r="P102" s="2" t="n"/>
      <c r="Q102" s="9" t="inlineStr">
        <is>
          <t>Melanoma vaccine data leak on Oct 22 triggered a sell-the-news collapse; the 42% risk reduction met expectations but left doubts about broader cancer use. With the stock still up 679% and no new positive catalyst, MRNA likely underperforms next week. | horizon 3 days; exit if: Moderna announces new positive Phase 3 or regulatory news for its cancer vaccine beyond melanoma; FDA grants breakthrough designation or accepts filing for intismeran; Multiple analysts upgrade MRNA on broader cancer-use potential</t>
        </is>
      </c>
    </row>
    <row r="103">
      <c r="A103" s="2" t="inlineStr">
        <is>
          <t>2026-10-28</t>
        </is>
      </c>
      <c r="B103" s="2" t="inlineStr">
        <is>
          <t>VLO</t>
        </is>
      </c>
      <c r="C103" s="2" t="inlineStr">
        <is>
          <t>VLO</t>
        </is>
      </c>
      <c r="D103" s="2" t="inlineStr">
        <is>
          <t>position (lifecycle)</t>
        </is>
      </c>
      <c r="E103" s="2" t="inlineStr">
        <is>
          <t>Short</t>
        </is>
      </c>
      <c r="F103" s="2" t="inlineStr">
        <is>
          <t>Open</t>
        </is>
      </c>
      <c r="G103" s="2" t="inlineStr">
        <is>
          <t>2026-10-29</t>
        </is>
      </c>
      <c r="H103" s="2" t="inlineStr"/>
      <c r="I103" s="4" t="n">
        <v>-7</v>
      </c>
      <c r="J103" s="5" t="n">
        <v>384.434286</v>
      </c>
      <c r="K103" s="5" t="n"/>
      <c r="L103" s="5" t="n">
        <v>390.14</v>
      </c>
      <c r="M103" s="7">
        <f>IFERROR(IF(E103="Short",-1,1)*(IF(K103&lt;&gt;"",K103,L103)/J103-1),"")</f>
        <v/>
      </c>
      <c r="N103" s="6">
        <f>IFERROR(I103*(IF(K103&lt;&gt;"",K103,L103)-J103),"")</f>
        <v/>
      </c>
      <c r="O103" s="8" t="n">
        <v>0.55</v>
      </c>
      <c r="P103" s="2" t="n"/>
      <c r="Q103" s="9" t="inlineStr">
        <is>
          <t>VLO's Q3 beat (Oct 22) failed to lift the stock, which slipped then fell ~8% on Oct 28 as the Energy Secretary opened the door to more Russian diesel imports and refining margins shrank. The margin-boom story is turning negative on a fresh supply catalyst not fully priced. Lean short next week. | horizon 21 days; exit if: US blocks or reverses the Russian diesel import plan; Valero reports Q4 refining margins above Q3 levels</t>
        </is>
      </c>
    </row>
  </sheetData>
  <autoFilter ref="A1:Q10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7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row r="96">
      <c r="A96" s="2" t="inlineStr">
        <is>
          <t>2026-10-14</t>
        </is>
      </c>
      <c r="B96" s="2" t="inlineStr">
        <is>
          <t>2026-10-21</t>
        </is>
      </c>
      <c r="C96" s="2" t="inlineStr">
        <is>
          <t>CRM</t>
        </is>
      </c>
      <c r="D96" s="2" t="inlineStr">
        <is>
          <t>rebalance</t>
        </is>
      </c>
      <c r="E96" s="2" t="inlineStr">
        <is>
          <t>buy</t>
        </is>
      </c>
      <c r="F96" s="10" t="n">
        <v>6</v>
      </c>
      <c r="G96" s="10" t="n">
        <v>6</v>
      </c>
      <c r="H96" s="2" t="inlineStr">
        <is>
          <t>market, last minute before the close (lifecycle)</t>
        </is>
      </c>
      <c r="I96" s="5" t="n">
        <v>241.825</v>
      </c>
      <c r="J96" s="2" t="inlineStr">
        <is>
          <t>filled</t>
        </is>
      </c>
      <c r="K96" s="5" t="n">
        <v>241.79</v>
      </c>
      <c r="L96" s="5" t="n"/>
      <c r="M96" s="11" t="n"/>
      <c r="N96" s="10">
        <f>IFERROR(G96*IF(K96&lt;&gt;"",K96,I96),"")</f>
        <v/>
      </c>
      <c r="O96" s="2" t="inlineStr">
        <is>
          <t>fund-lc-2026-10-21-CRM-rebalance</t>
        </is>
      </c>
    </row>
    <row r="97">
      <c r="A97" s="2" t="inlineStr">
        <is>
          <t>2026-10-14</t>
        </is>
      </c>
      <c r="B97" s="2" t="inlineStr">
        <is>
          <t>2026-10-21</t>
        </is>
      </c>
      <c r="C97" s="2" t="inlineStr">
        <is>
          <t>HPE</t>
        </is>
      </c>
      <c r="D97" s="2" t="inlineStr">
        <is>
          <t>rebalance</t>
        </is>
      </c>
      <c r="E97" s="2" t="inlineStr">
        <is>
          <t>buy</t>
        </is>
      </c>
      <c r="F97" s="10" t="n">
        <v>29</v>
      </c>
      <c r="G97" s="10" t="n">
        <v>29</v>
      </c>
      <c r="H97" s="2" t="inlineStr">
        <is>
          <t>market, last minute before the close (lifecycle)</t>
        </is>
      </c>
      <c r="I97" s="5" t="n">
        <v>58.215</v>
      </c>
      <c r="J97" s="2" t="inlineStr">
        <is>
          <t>filled</t>
        </is>
      </c>
      <c r="K97" s="5" t="n">
        <v>58.084138</v>
      </c>
      <c r="L97" s="5" t="n"/>
      <c r="M97" s="11" t="n"/>
      <c r="N97" s="10">
        <f>IFERROR(G97*IF(K97&lt;&gt;"",K97,I97),"")</f>
        <v/>
      </c>
      <c r="O97" s="2" t="inlineStr">
        <is>
          <t>fund-lc-2026-10-21-HPE-rebalance</t>
        </is>
      </c>
    </row>
    <row r="98">
      <c r="A98" s="2" t="inlineStr">
        <is>
          <t>2026-10-14</t>
        </is>
      </c>
      <c r="B98" s="2" t="inlineStr">
        <is>
          <t>2026-10-21</t>
        </is>
      </c>
      <c r="C98" s="2" t="inlineStr">
        <is>
          <t>MRVL</t>
        </is>
      </c>
      <c r="D98" s="2" t="inlineStr">
        <is>
          <t>rebalance</t>
        </is>
      </c>
      <c r="E98" s="2" t="inlineStr">
        <is>
          <t>buy</t>
        </is>
      </c>
      <c r="F98" s="10" t="n">
        <v>14</v>
      </c>
      <c r="G98" s="10" t="n">
        <v>14</v>
      </c>
      <c r="H98" s="2" t="inlineStr">
        <is>
          <t>market, last minute before the close (lifecycle)</t>
        </is>
      </c>
      <c r="I98" s="5" t="n">
        <v>244.93</v>
      </c>
      <c r="J98" s="2" t="inlineStr">
        <is>
          <t>filled</t>
        </is>
      </c>
      <c r="K98" s="5" t="n">
        <v>244.55</v>
      </c>
      <c r="L98" s="5" t="n"/>
      <c r="M98" s="11" t="n"/>
      <c r="N98" s="10">
        <f>IFERROR(G98*IF(K98&lt;&gt;"",K98,I98),"")</f>
        <v/>
      </c>
      <c r="O98" s="2" t="inlineStr">
        <is>
          <t>fund-lc-2026-10-21-MRVL-rebalance</t>
        </is>
      </c>
    </row>
    <row r="99">
      <c r="A99" s="2" t="inlineStr">
        <is>
          <t>2026-10-14</t>
        </is>
      </c>
      <c r="B99" s="2" t="inlineStr">
        <is>
          <t>2026-10-21</t>
        </is>
      </c>
      <c r="C99" s="2" t="inlineStr">
        <is>
          <t>MSFT</t>
        </is>
      </c>
      <c r="D99" s="2" t="inlineStr">
        <is>
          <t>close</t>
        </is>
      </c>
      <c r="E99" s="2" t="inlineStr">
        <is>
          <t>sell</t>
        </is>
      </c>
      <c r="F99" s="10" t="n">
        <v>7</v>
      </c>
      <c r="G99" s="10" t="n">
        <v>7</v>
      </c>
      <c r="H99" s="2" t="inlineStr">
        <is>
          <t>market, last minute before the close (lifecycle)</t>
        </is>
      </c>
      <c r="I99" s="5" t="n">
        <v>533.0599999999999</v>
      </c>
      <c r="J99" s="2" t="inlineStr">
        <is>
          <t>filled</t>
        </is>
      </c>
      <c r="K99" s="5" t="n">
        <v>533.04</v>
      </c>
      <c r="L99" s="5" t="n"/>
      <c r="M99" s="11" t="n"/>
      <c r="N99" s="10">
        <f>IFERROR(G99*IF(K99&lt;&gt;"",K99,I99),"")</f>
        <v/>
      </c>
      <c r="O99" s="2" t="inlineStr">
        <is>
          <t>fund-lc-2026-10-21-MSFT-close</t>
        </is>
      </c>
    </row>
    <row r="100">
      <c r="A100" s="2" t="inlineStr">
        <is>
          <t>2026-10-14</t>
        </is>
      </c>
      <c r="B100" s="2" t="inlineStr">
        <is>
          <t>2026-10-21</t>
        </is>
      </c>
      <c r="C100" s="2" t="inlineStr">
        <is>
          <t>NFLX</t>
        </is>
      </c>
      <c r="D100" s="2" t="inlineStr">
        <is>
          <t>close</t>
        </is>
      </c>
      <c r="E100" s="2" t="inlineStr">
        <is>
          <t>buy</t>
        </is>
      </c>
      <c r="F100" s="10" t="n">
        <v>15</v>
      </c>
      <c r="G100" s="10" t="n">
        <v>15</v>
      </c>
      <c r="H100" s="2" t="inlineStr">
        <is>
          <t>market, last minute before the close (lifecycle)</t>
        </is>
      </c>
      <c r="I100" s="5" t="n">
        <v>65.105</v>
      </c>
      <c r="J100" s="2" t="inlineStr">
        <is>
          <t>filled</t>
        </is>
      </c>
      <c r="K100" s="5" t="n">
        <v>65.068667</v>
      </c>
      <c r="L100" s="5" t="n"/>
      <c r="M100" s="11" t="n"/>
      <c r="N100" s="10">
        <f>IFERROR(G100*IF(K100&lt;&gt;"",K100,I100),"")</f>
        <v/>
      </c>
      <c r="O100" s="2" t="inlineStr">
        <is>
          <t>fund-lc-2026-10-21-NFLX-close</t>
        </is>
      </c>
    </row>
    <row r="101">
      <c r="A101" s="2" t="inlineStr">
        <is>
          <t>2026-10-14</t>
        </is>
      </c>
      <c r="B101" s="2" t="inlineStr">
        <is>
          <t>2026-10-21</t>
        </is>
      </c>
      <c r="C101" s="2" t="inlineStr">
        <is>
          <t>NKE</t>
        </is>
      </c>
      <c r="D101" s="2" t="inlineStr">
        <is>
          <t>rebalance</t>
        </is>
      </c>
      <c r="E101" s="2" t="inlineStr">
        <is>
          <t>sell</t>
        </is>
      </c>
      <c r="F101" s="10" t="n">
        <v>69</v>
      </c>
      <c r="G101" s="10" t="n">
        <v>69</v>
      </c>
      <c r="H101" s="2" t="inlineStr">
        <is>
          <t>market, last minute before the close (lifecycle)</t>
        </is>
      </c>
      <c r="I101" s="5" t="n">
        <v>37.54</v>
      </c>
      <c r="J101" s="2" t="inlineStr">
        <is>
          <t>filled</t>
        </is>
      </c>
      <c r="K101" s="5" t="n">
        <v>37.49</v>
      </c>
      <c r="L101" s="5" t="n"/>
      <c r="M101" s="11" t="n"/>
      <c r="N101" s="10">
        <f>IFERROR(G101*IF(K101&lt;&gt;"",K101,I101),"")</f>
        <v/>
      </c>
      <c r="O101" s="2" t="inlineStr">
        <is>
          <t>fund-lc-2026-10-21-NKE-rebalance</t>
        </is>
      </c>
    </row>
    <row r="102">
      <c r="A102" s="2" t="inlineStr">
        <is>
          <t>2026-10-14</t>
        </is>
      </c>
      <c r="B102" s="2" t="inlineStr">
        <is>
          <t>2026-10-21</t>
        </is>
      </c>
      <c r="C102" s="2" t="inlineStr">
        <is>
          <t>NVDA</t>
        </is>
      </c>
      <c r="D102" s="2" t="inlineStr">
        <is>
          <t>close</t>
        </is>
      </c>
      <c r="E102" s="2" t="inlineStr">
        <is>
          <t>sell</t>
        </is>
      </c>
      <c r="F102" s="10" t="n">
        <v>11</v>
      </c>
      <c r="G102" s="10" t="n">
        <v>11</v>
      </c>
      <c r="H102" s="2" t="inlineStr">
        <is>
          <t>market, last minute before the close (lifecycle)</t>
        </is>
      </c>
      <c r="I102" s="5" t="n">
        <v>222.04</v>
      </c>
      <c r="J102" s="2" t="inlineStr">
        <is>
          <t>filled</t>
        </is>
      </c>
      <c r="K102" s="5" t="n">
        <v>221.922727</v>
      </c>
      <c r="L102" s="5" t="n"/>
      <c r="M102" s="11" t="n"/>
      <c r="N102" s="10">
        <f>IFERROR(G102*IF(K102&lt;&gt;"",K102,I102),"")</f>
        <v/>
      </c>
      <c r="O102" s="2" t="inlineStr">
        <is>
          <t>fund-lc-2026-10-21-NVDA-close</t>
        </is>
      </c>
    </row>
    <row r="103">
      <c r="A103" s="2" t="inlineStr">
        <is>
          <t>2026-10-14</t>
        </is>
      </c>
      <c r="B103" s="2" t="inlineStr">
        <is>
          <t>2026-10-21</t>
        </is>
      </c>
      <c r="C103" s="2" t="inlineStr">
        <is>
          <t>ON</t>
        </is>
      </c>
      <c r="D103" s="2" t="inlineStr">
        <is>
          <t>close</t>
        </is>
      </c>
      <c r="E103" s="2" t="inlineStr">
        <is>
          <t>sell</t>
        </is>
      </c>
      <c r="F103" s="10" t="n">
        <v>37</v>
      </c>
      <c r="G103" s="10" t="n">
        <v>37</v>
      </c>
      <c r="H103" s="2" t="inlineStr">
        <is>
          <t>market, last minute before the close (lifecycle)</t>
        </is>
      </c>
      <c r="I103" s="5" t="n">
        <v>77.005</v>
      </c>
      <c r="J103" s="2" t="inlineStr">
        <is>
          <t>filled</t>
        </is>
      </c>
      <c r="K103" s="5" t="n">
        <v>76.93108100000001</v>
      </c>
      <c r="L103" s="5" t="n"/>
      <c r="M103" s="11" t="n"/>
      <c r="N103" s="10">
        <f>IFERROR(G103*IF(K103&lt;&gt;"",K103,I103),"")</f>
        <v/>
      </c>
      <c r="O103" s="2" t="inlineStr">
        <is>
          <t>fund-lc-2026-10-21-ON-close</t>
        </is>
      </c>
    </row>
    <row r="104">
      <c r="A104" s="2" t="inlineStr">
        <is>
          <t>2026-10-14</t>
        </is>
      </c>
      <c r="B104" s="2" t="inlineStr">
        <is>
          <t>2026-10-21</t>
        </is>
      </c>
      <c r="C104" s="2" t="inlineStr">
        <is>
          <t>ORCL</t>
        </is>
      </c>
      <c r="D104" s="2" t="inlineStr">
        <is>
          <t>close</t>
        </is>
      </c>
      <c r="E104" s="2" t="inlineStr">
        <is>
          <t>buy</t>
        </is>
      </c>
      <c r="F104" s="10" t="n">
        <v>29</v>
      </c>
      <c r="G104" s="10" t="n">
        <v>29</v>
      </c>
      <c r="H104" s="2" t="inlineStr">
        <is>
          <t>market, last minute before the close (lifecycle)</t>
        </is>
      </c>
      <c r="I104" s="5" t="n">
        <v>128.895</v>
      </c>
      <c r="J104" s="2" t="inlineStr">
        <is>
          <t>filled</t>
        </is>
      </c>
      <c r="K104" s="5" t="n">
        <v>129.046897</v>
      </c>
      <c r="L104" s="5" t="n"/>
      <c r="M104" s="11" t="n"/>
      <c r="N104" s="10">
        <f>IFERROR(G104*IF(K104&lt;&gt;"",K104,I104),"")</f>
        <v/>
      </c>
      <c r="O104" s="2" t="inlineStr">
        <is>
          <t>fund-lc-2026-10-21-ORCL-close</t>
        </is>
      </c>
    </row>
    <row r="105">
      <c r="A105" s="2" t="inlineStr">
        <is>
          <t>2026-10-14</t>
        </is>
      </c>
      <c r="B105" s="2" t="inlineStr">
        <is>
          <t>2026-10-21</t>
        </is>
      </c>
      <c r="C105" s="2" t="inlineStr">
        <is>
          <t>SPY</t>
        </is>
      </c>
      <c r="D105" s="2" t="inlineStr">
        <is>
          <t>rebalance</t>
        </is>
      </c>
      <c r="E105" s="2" t="inlineStr">
        <is>
          <t>sell</t>
        </is>
      </c>
      <c r="F105" s="10" t="n">
        <v>12</v>
      </c>
      <c r="G105" s="10" t="n">
        <v>12</v>
      </c>
      <c r="H105" s="2" t="inlineStr">
        <is>
          <t>market, last minute before the close (lifecycle)</t>
        </is>
      </c>
      <c r="I105" s="5" t="n">
        <v>773.485</v>
      </c>
      <c r="J105" s="2" t="inlineStr">
        <is>
          <t>filled</t>
        </is>
      </c>
      <c r="K105" s="5" t="n">
        <v>773.201666</v>
      </c>
      <c r="L105" s="5" t="n"/>
      <c r="M105" s="11" t="n"/>
      <c r="N105" s="10">
        <f>IFERROR(G105*IF(K105&lt;&gt;"",K105,I105),"")</f>
        <v/>
      </c>
      <c r="O105" s="2" t="inlineStr">
        <is>
          <t>fund-lc-2026-10-21-SPY-rebalance</t>
        </is>
      </c>
    </row>
    <row r="106">
      <c r="A106" s="2" t="inlineStr">
        <is>
          <t>2026-10-14</t>
        </is>
      </c>
      <c r="B106" s="2" t="inlineStr">
        <is>
          <t>2026-10-21</t>
        </is>
      </c>
      <c r="C106" s="2" t="inlineStr">
        <is>
          <t>TSLA</t>
        </is>
      </c>
      <c r="D106" s="2" t="inlineStr">
        <is>
          <t>close</t>
        </is>
      </c>
      <c r="E106" s="2" t="inlineStr">
        <is>
          <t>buy</t>
        </is>
      </c>
      <c r="F106" s="10" t="n">
        <v>4</v>
      </c>
      <c r="G106" s="10" t="n">
        <v>4</v>
      </c>
      <c r="H106" s="2" t="inlineStr">
        <is>
          <t>market, last minute before the close (lifecycle)</t>
        </is>
      </c>
      <c r="I106" s="5" t="n">
        <v>385.56</v>
      </c>
      <c r="J106" s="2" t="inlineStr">
        <is>
          <t>filled</t>
        </is>
      </c>
      <c r="K106" s="5" t="n">
        <v>386.4025</v>
      </c>
      <c r="L106" s="5" t="n"/>
      <c r="M106" s="11" t="n"/>
      <c r="N106" s="10">
        <f>IFERROR(G106*IF(K106&lt;&gt;"",K106,I106),"")</f>
        <v/>
      </c>
      <c r="O106" s="2" t="inlineStr">
        <is>
          <t>fund-lc-2026-10-21-TSLA-close</t>
        </is>
      </c>
    </row>
    <row r="107">
      <c r="A107" s="2" t="inlineStr">
        <is>
          <t>2026-10-21</t>
        </is>
      </c>
      <c r="B107" s="2" t="inlineStr">
        <is>
          <t>2026-10-22</t>
        </is>
      </c>
      <c r="C107" s="2" t="inlineStr">
        <is>
          <t>AAPL</t>
        </is>
      </c>
      <c r="D107" s="2" t="inlineStr">
        <is>
          <t>rebalance</t>
        </is>
      </c>
      <c r="E107" s="2" t="inlineStr">
        <is>
          <t>sell</t>
        </is>
      </c>
      <c r="F107" s="10" t="n">
        <v>7</v>
      </c>
      <c r="G107" s="10" t="n">
        <v>7</v>
      </c>
      <c r="H107" s="2" t="inlineStr">
        <is>
          <t>market, last minute before the close (lifecycle)</t>
        </is>
      </c>
      <c r="I107" s="5" t="n">
        <v>347.94</v>
      </c>
      <c r="J107" s="2" t="inlineStr">
        <is>
          <t>filled</t>
        </is>
      </c>
      <c r="K107" s="5" t="n">
        <v>348.188571</v>
      </c>
      <c r="L107" s="5" t="n"/>
      <c r="M107" s="11" t="n"/>
      <c r="N107" s="10">
        <f>IFERROR(G107*IF(K107&lt;&gt;"",K107,I107),"")</f>
        <v/>
      </c>
      <c r="O107" s="2" t="inlineStr">
        <is>
          <t>fund-lc-2026-10-22-AAPL-rebalance</t>
        </is>
      </c>
    </row>
    <row r="108">
      <c r="A108" s="2" t="inlineStr">
        <is>
          <t>2026-10-21</t>
        </is>
      </c>
      <c r="B108" s="2" t="inlineStr">
        <is>
          <t>2026-10-22</t>
        </is>
      </c>
      <c r="C108" s="2" t="inlineStr">
        <is>
          <t>AMD</t>
        </is>
      </c>
      <c r="D108" s="2" t="inlineStr">
        <is>
          <t>flatten</t>
        </is>
      </c>
      <c r="E108" s="2" t="inlineStr">
        <is>
          <t>sell</t>
        </is>
      </c>
      <c r="F108" s="10" t="n">
        <v>6</v>
      </c>
      <c r="G108" s="10" t="n">
        <v>6</v>
      </c>
      <c r="H108" s="2" t="inlineStr">
        <is>
          <t>market, last minute before the close (lifecycle)</t>
        </is>
      </c>
      <c r="I108" s="5" t="n">
        <v>507.93</v>
      </c>
      <c r="J108" s="2" t="inlineStr">
        <is>
          <t>filled</t>
        </is>
      </c>
      <c r="K108" s="5" t="n">
        <v>508.143333</v>
      </c>
      <c r="L108" s="5" t="n"/>
      <c r="M108" s="11" t="n"/>
      <c r="N108" s="10">
        <f>IFERROR(G108*IF(K108&lt;&gt;"",K108,I108),"")</f>
        <v/>
      </c>
      <c r="O108" s="2" t="inlineStr">
        <is>
          <t>fund-lc-2026-10-22-AMD-flatten</t>
        </is>
      </c>
    </row>
    <row r="109">
      <c r="A109" s="2" t="inlineStr">
        <is>
          <t>2026-10-21</t>
        </is>
      </c>
      <c r="B109" s="2" t="inlineStr">
        <is>
          <t>2026-10-22</t>
        </is>
      </c>
      <c r="C109" s="2" t="inlineStr">
        <is>
          <t>AMD</t>
        </is>
      </c>
      <c r="D109" s="2" t="inlineStr">
        <is>
          <t>open</t>
        </is>
      </c>
      <c r="E109" s="2" t="inlineStr">
        <is>
          <t>sell</t>
        </is>
      </c>
      <c r="F109" s="10" t="n">
        <v>5</v>
      </c>
      <c r="G109" s="10" t="n">
        <v>5</v>
      </c>
      <c r="H109" s="2" t="inlineStr">
        <is>
          <t>market, last minute before the close (lifecycle)</t>
        </is>
      </c>
      <c r="I109" s="5" t="n">
        <v>507.93</v>
      </c>
      <c r="J109" s="2" t="inlineStr">
        <is>
          <t>filled</t>
        </is>
      </c>
      <c r="K109" s="5" t="n">
        <v>507.3559999999999</v>
      </c>
      <c r="L109" s="5" t="n"/>
      <c r="M109" s="11" t="n"/>
      <c r="N109" s="10">
        <f>IFERROR(G109*IF(K109&lt;&gt;"",K109,I109),"")</f>
        <v/>
      </c>
      <c r="O109" s="2" t="inlineStr">
        <is>
          <t>fund-lc-2026-10-22-AMD-open</t>
        </is>
      </c>
    </row>
    <row r="110">
      <c r="A110" s="2" t="inlineStr">
        <is>
          <t>2026-10-21</t>
        </is>
      </c>
      <c r="B110" s="2" t="inlineStr">
        <is>
          <t>2026-10-22</t>
        </is>
      </c>
      <c r="C110" s="2" t="inlineStr">
        <is>
          <t>AVGO</t>
        </is>
      </c>
      <c r="D110" s="2" t="inlineStr">
        <is>
          <t>rebalance</t>
        </is>
      </c>
      <c r="E110" s="2" t="inlineStr">
        <is>
          <t>sell</t>
        </is>
      </c>
      <c r="F110" s="10" t="n">
        <v>7</v>
      </c>
      <c r="G110" s="10" t="n">
        <v>7</v>
      </c>
      <c r="H110" s="2" t="inlineStr">
        <is>
          <t>market, last minute before the close (lifecycle)</t>
        </is>
      </c>
      <c r="I110" s="5" t="n">
        <v>323.315</v>
      </c>
      <c r="J110" s="2" t="inlineStr">
        <is>
          <t>filled</t>
        </is>
      </c>
      <c r="K110" s="5" t="n">
        <v>323.371428</v>
      </c>
      <c r="L110" s="5" t="n"/>
      <c r="M110" s="11" t="n"/>
      <c r="N110" s="10">
        <f>IFERROR(G110*IF(K110&lt;&gt;"",K110,I110),"")</f>
        <v/>
      </c>
      <c r="O110" s="2" t="inlineStr">
        <is>
          <t>fund-lc-2026-10-22-AVGO-rebalance</t>
        </is>
      </c>
    </row>
    <row r="111">
      <c r="A111" s="2" t="inlineStr">
        <is>
          <t>2026-10-21</t>
        </is>
      </c>
      <c r="B111" s="2" t="inlineStr">
        <is>
          <t>2026-10-22</t>
        </is>
      </c>
      <c r="C111" s="2" t="inlineStr">
        <is>
          <t>BA</t>
        </is>
      </c>
      <c r="D111" s="2" t="inlineStr">
        <is>
          <t>rebalance</t>
        </is>
      </c>
      <c r="E111" s="2" t="inlineStr">
        <is>
          <t>buy</t>
        </is>
      </c>
      <c r="F111" s="10" t="n">
        <v>13</v>
      </c>
      <c r="G111" s="10" t="n">
        <v>13</v>
      </c>
      <c r="H111" s="2" t="inlineStr">
        <is>
          <t>market, last minute before the close (lifecycle)</t>
        </is>
      </c>
      <c r="I111" s="5" t="n">
        <v>187.61</v>
      </c>
      <c r="J111" s="2" t="inlineStr">
        <is>
          <t>filled</t>
        </is>
      </c>
      <c r="K111" s="5" t="n">
        <v>187.465385</v>
      </c>
      <c r="L111" s="5" t="n"/>
      <c r="M111" s="11" t="n"/>
      <c r="N111" s="10">
        <f>IFERROR(G111*IF(K111&lt;&gt;"",K111,I111),"")</f>
        <v/>
      </c>
      <c r="O111" s="2" t="inlineStr">
        <is>
          <t>fund-lc-2026-10-22-BA-rebalance</t>
        </is>
      </c>
    </row>
    <row r="112">
      <c r="A112" s="2" t="inlineStr">
        <is>
          <t>2026-10-21</t>
        </is>
      </c>
      <c r="B112" s="2" t="inlineStr">
        <is>
          <t>2026-10-22</t>
        </is>
      </c>
      <c r="C112" s="2" t="inlineStr">
        <is>
          <t>BAC</t>
        </is>
      </c>
      <c r="D112" s="2" t="inlineStr">
        <is>
          <t>close</t>
        </is>
      </c>
      <c r="E112" s="2" t="inlineStr">
        <is>
          <t>buy</t>
        </is>
      </c>
      <c r="F112" s="10" t="n">
        <v>68</v>
      </c>
      <c r="G112" s="10" t="n">
        <v>68</v>
      </c>
      <c r="H112" s="2" t="inlineStr">
        <is>
          <t>market, last minute before the close (lifecycle)</t>
        </is>
      </c>
      <c r="I112" s="5" t="n">
        <v>51.035</v>
      </c>
      <c r="J112" s="2" t="inlineStr">
        <is>
          <t>filled</t>
        </is>
      </c>
      <c r="K112" s="5" t="n">
        <v>51.03</v>
      </c>
      <c r="L112" s="5" t="n"/>
      <c r="M112" s="11" t="n"/>
      <c r="N112" s="10">
        <f>IFERROR(G112*IF(K112&lt;&gt;"",K112,I112),"")</f>
        <v/>
      </c>
      <c r="O112" s="2" t="inlineStr">
        <is>
          <t>fund-lc-2026-10-22-BAC-close</t>
        </is>
      </c>
    </row>
    <row r="113">
      <c r="A113" s="2" t="inlineStr">
        <is>
          <t>2026-10-21</t>
        </is>
      </c>
      <c r="B113" s="2" t="inlineStr">
        <is>
          <t>2026-10-22</t>
        </is>
      </c>
      <c r="C113" s="2" t="inlineStr">
        <is>
          <t>CMG</t>
        </is>
      </c>
      <c r="D113" s="2" t="inlineStr">
        <is>
          <t>rebalance</t>
        </is>
      </c>
      <c r="E113" s="2" t="inlineStr">
        <is>
          <t>sell</t>
        </is>
      </c>
      <c r="F113" s="10" t="n">
        <v>87</v>
      </c>
      <c r="G113" s="10" t="n">
        <v>87</v>
      </c>
      <c r="H113" s="2" t="inlineStr">
        <is>
          <t>market, last minute before the close (lifecycle)</t>
        </is>
      </c>
      <c r="I113" s="5" t="n">
        <v>28.025</v>
      </c>
      <c r="J113" s="2" t="inlineStr">
        <is>
          <t>filled</t>
        </is>
      </c>
      <c r="K113" s="5" t="n">
        <v>28.07</v>
      </c>
      <c r="L113" s="5" t="n"/>
      <c r="M113" s="11" t="n"/>
      <c r="N113" s="10">
        <f>IFERROR(G113*IF(K113&lt;&gt;"",K113,I113),"")</f>
        <v/>
      </c>
      <c r="O113" s="2" t="inlineStr">
        <is>
          <t>fund-lc-2026-10-22-CMG-rebalance</t>
        </is>
      </c>
    </row>
    <row r="114">
      <c r="A114" s="2" t="inlineStr">
        <is>
          <t>2026-10-21</t>
        </is>
      </c>
      <c r="B114" s="2" t="inlineStr">
        <is>
          <t>2026-10-22</t>
        </is>
      </c>
      <c r="C114" s="2" t="inlineStr">
        <is>
          <t>CRM</t>
        </is>
      </c>
      <c r="D114" s="2" t="inlineStr">
        <is>
          <t>flatten</t>
        </is>
      </c>
      <c r="E114" s="2" t="inlineStr">
        <is>
          <t>sell</t>
        </is>
      </c>
      <c r="F114" s="10" t="n">
        <v>18</v>
      </c>
      <c r="G114" s="10" t="n">
        <v>18</v>
      </c>
      <c r="H114" s="2" t="inlineStr">
        <is>
          <t>market, last minute before the close (lifecycle)</t>
        </is>
      </c>
      <c r="I114" s="5" t="n">
        <v>250.33</v>
      </c>
      <c r="J114" s="2" t="inlineStr">
        <is>
          <t>filled</t>
        </is>
      </c>
      <c r="K114" s="5" t="n">
        <v>250.53</v>
      </c>
      <c r="L114" s="5" t="n"/>
      <c r="M114" s="11" t="n"/>
      <c r="N114" s="10">
        <f>IFERROR(G114*IF(K114&lt;&gt;"",K114,I114),"")</f>
        <v/>
      </c>
      <c r="O114" s="2" t="inlineStr">
        <is>
          <t>fund-lc-2026-10-22-CRM-flatten</t>
        </is>
      </c>
    </row>
    <row r="115">
      <c r="A115" s="2" t="inlineStr">
        <is>
          <t>2026-10-21</t>
        </is>
      </c>
      <c r="B115" s="2" t="inlineStr">
        <is>
          <t>2026-10-22</t>
        </is>
      </c>
      <c r="C115" s="2" t="inlineStr">
        <is>
          <t>CRM</t>
        </is>
      </c>
      <c r="D115" s="2" t="inlineStr">
        <is>
          <t>open</t>
        </is>
      </c>
      <c r="E115" s="2" t="inlineStr">
        <is>
          <t>sell</t>
        </is>
      </c>
      <c r="F115" s="10" t="n">
        <v>12</v>
      </c>
      <c r="G115" s="10" t="n">
        <v>12</v>
      </c>
      <c r="H115" s="2" t="inlineStr">
        <is>
          <t>market, last minute before the close (lifecycle)</t>
        </is>
      </c>
      <c r="I115" s="5" t="n">
        <v>250.33</v>
      </c>
      <c r="J115" s="2" t="inlineStr">
        <is>
          <t>filled</t>
        </is>
      </c>
      <c r="K115" s="5" t="n">
        <v>250.35</v>
      </c>
      <c r="L115" s="5" t="n"/>
      <c r="M115" s="11" t="n"/>
      <c r="N115" s="10">
        <f>IFERROR(G115*IF(K115&lt;&gt;"",K115,I115),"")</f>
        <v/>
      </c>
      <c r="O115" s="2" t="inlineStr">
        <is>
          <t>fund-lc-2026-10-22-CRM-open</t>
        </is>
      </c>
    </row>
    <row r="116">
      <c r="A116" s="2" t="inlineStr">
        <is>
          <t>2026-10-21</t>
        </is>
      </c>
      <c r="B116" s="2" t="inlineStr">
        <is>
          <t>2026-10-22</t>
        </is>
      </c>
      <c r="C116" s="2" t="inlineStr">
        <is>
          <t>CSX</t>
        </is>
      </c>
      <c r="D116" s="2" t="inlineStr">
        <is>
          <t>rebalance</t>
        </is>
      </c>
      <c r="E116" s="2" t="inlineStr">
        <is>
          <t>buy</t>
        </is>
      </c>
      <c r="F116" s="10" t="n">
        <v>114</v>
      </c>
      <c r="G116" s="10" t="n">
        <v>114</v>
      </c>
      <c r="H116" s="2" t="inlineStr">
        <is>
          <t>market, last minute before the close (lifecycle)</t>
        </is>
      </c>
      <c r="I116" s="5" t="n">
        <v>51.715</v>
      </c>
      <c r="J116" s="2" t="inlineStr">
        <is>
          <t>filled</t>
        </is>
      </c>
      <c r="K116" s="5" t="n">
        <v>51.72</v>
      </c>
      <c r="L116" s="5" t="n"/>
      <c r="M116" s="11" t="n"/>
      <c r="N116" s="10">
        <f>IFERROR(G116*IF(K116&lt;&gt;"",K116,I116),"")</f>
        <v/>
      </c>
      <c r="O116" s="2" t="inlineStr">
        <is>
          <t>fund-lc-2026-10-22-CSX-rebalance</t>
        </is>
      </c>
    </row>
    <row r="117">
      <c r="A117" s="2" t="inlineStr">
        <is>
          <t>2026-10-21</t>
        </is>
      </c>
      <c r="B117" s="2" t="inlineStr">
        <is>
          <t>2026-10-22</t>
        </is>
      </c>
      <c r="C117" s="2" t="inlineStr">
        <is>
          <t>DAL</t>
        </is>
      </c>
      <c r="D117" s="2" t="inlineStr">
        <is>
          <t>close</t>
        </is>
      </c>
      <c r="E117" s="2" t="inlineStr">
        <is>
          <t>buy</t>
        </is>
      </c>
      <c r="F117" s="10" t="n">
        <v>47</v>
      </c>
      <c r="G117" s="10" t="n">
        <v>47</v>
      </c>
      <c r="H117" s="2" t="inlineStr">
        <is>
          <t>market, last minute before the close (lifecycle)</t>
        </is>
      </c>
      <c r="I117" s="5" t="n">
        <v>79.15000000000001</v>
      </c>
      <c r="J117" s="2" t="inlineStr">
        <is>
          <t>filled</t>
        </is>
      </c>
      <c r="K117" s="5" t="n">
        <v>79.149362</v>
      </c>
      <c r="L117" s="5" t="n"/>
      <c r="M117" s="11" t="n"/>
      <c r="N117" s="10">
        <f>IFERROR(G117*IF(K117&lt;&gt;"",K117,I117),"")</f>
        <v/>
      </c>
      <c r="O117" s="2" t="inlineStr">
        <is>
          <t>fund-lc-2026-10-22-DAL-close</t>
        </is>
      </c>
    </row>
    <row r="118">
      <c r="A118" s="2" t="inlineStr">
        <is>
          <t>2026-10-21</t>
        </is>
      </c>
      <c r="B118" s="2" t="inlineStr">
        <is>
          <t>2026-10-22</t>
        </is>
      </c>
      <c r="C118" s="2" t="inlineStr">
        <is>
          <t>HAS</t>
        </is>
      </c>
      <c r="D118" s="2" t="inlineStr">
        <is>
          <t>rebalance</t>
        </is>
      </c>
      <c r="E118" s="2" t="inlineStr">
        <is>
          <t>buy</t>
        </is>
      </c>
      <c r="F118" s="10" t="n">
        <v>21</v>
      </c>
      <c r="G118" s="10" t="n">
        <v>21</v>
      </c>
      <c r="H118" s="2" t="inlineStr">
        <is>
          <t>market, last minute before the close (lifecycle)</t>
        </is>
      </c>
      <c r="I118" s="5" t="n">
        <v>117.07</v>
      </c>
      <c r="J118" s="2" t="inlineStr">
        <is>
          <t>filled</t>
        </is>
      </c>
      <c r="K118" s="5" t="n">
        <v>117.22</v>
      </c>
      <c r="L118" s="5" t="n"/>
      <c r="M118" s="11" t="n"/>
      <c r="N118" s="10">
        <f>IFERROR(G118*IF(K118&lt;&gt;"",K118,I118),"")</f>
        <v/>
      </c>
      <c r="O118" s="2" t="inlineStr">
        <is>
          <t>fund-lc-2026-10-22-HAS-rebalance</t>
        </is>
      </c>
    </row>
    <row r="119">
      <c r="A119" s="2" t="inlineStr">
        <is>
          <t>2026-10-21</t>
        </is>
      </c>
      <c r="B119" s="2" t="inlineStr">
        <is>
          <t>2026-10-22</t>
        </is>
      </c>
      <c r="C119" s="2" t="inlineStr">
        <is>
          <t>HPE</t>
        </is>
      </c>
      <c r="D119" s="2" t="inlineStr">
        <is>
          <t>close</t>
        </is>
      </c>
      <c r="E119" s="2" t="inlineStr">
        <is>
          <t>sell</t>
        </is>
      </c>
      <c r="F119" s="10" t="n">
        <v>65</v>
      </c>
      <c r="G119" s="10" t="n">
        <v>65</v>
      </c>
      <c r="H119" s="2" t="inlineStr">
        <is>
          <t>market, last minute before the close (lifecycle)</t>
        </is>
      </c>
      <c r="I119" s="5" t="n">
        <v>55.41</v>
      </c>
      <c r="J119" s="2" t="inlineStr">
        <is>
          <t>filled</t>
        </is>
      </c>
      <c r="K119" s="5" t="n">
        <v>55.43</v>
      </c>
      <c r="L119" s="5" t="n"/>
      <c r="M119" s="11" t="n"/>
      <c r="N119" s="10">
        <f>IFERROR(G119*IF(K119&lt;&gt;"",K119,I119),"")</f>
        <v/>
      </c>
      <c r="O119" s="2" t="inlineStr">
        <is>
          <t>fund-lc-2026-10-22-HPE-close</t>
        </is>
      </c>
    </row>
    <row r="120">
      <c r="A120" s="2" t="inlineStr">
        <is>
          <t>2026-10-21</t>
        </is>
      </c>
      <c r="B120" s="2" t="inlineStr">
        <is>
          <t>2026-10-22</t>
        </is>
      </c>
      <c r="C120" s="2" t="inlineStr">
        <is>
          <t>JPM</t>
        </is>
      </c>
      <c r="D120" s="2" t="inlineStr">
        <is>
          <t>close</t>
        </is>
      </c>
      <c r="E120" s="2" t="inlineStr">
        <is>
          <t>buy</t>
        </is>
      </c>
      <c r="F120" s="10" t="n">
        <v>7</v>
      </c>
      <c r="G120" s="10" t="n">
        <v>7</v>
      </c>
      <c r="H120" s="2" t="inlineStr">
        <is>
          <t>market, last minute before the close (lifecycle)</t>
        </is>
      </c>
      <c r="I120" s="5" t="n">
        <v>336.21</v>
      </c>
      <c r="J120" s="2" t="inlineStr">
        <is>
          <t>filled</t>
        </is>
      </c>
      <c r="K120" s="5" t="n">
        <v>336.362857</v>
      </c>
      <c r="L120" s="5" t="n"/>
      <c r="M120" s="11" t="n"/>
      <c r="N120" s="10">
        <f>IFERROR(G120*IF(K120&lt;&gt;"",K120,I120),"")</f>
        <v/>
      </c>
      <c r="O120" s="2" t="inlineStr">
        <is>
          <t>fund-lc-2026-10-22-JPM-close</t>
        </is>
      </c>
    </row>
    <row r="121">
      <c r="A121" s="2" t="inlineStr">
        <is>
          <t>2026-10-21</t>
        </is>
      </c>
      <c r="B121" s="2" t="inlineStr">
        <is>
          <t>2026-10-22</t>
        </is>
      </c>
      <c r="C121" s="2" t="inlineStr">
        <is>
          <t>KHC</t>
        </is>
      </c>
      <c r="D121" s="2" t="inlineStr">
        <is>
          <t>close</t>
        </is>
      </c>
      <c r="E121" s="2" t="inlineStr">
        <is>
          <t>buy</t>
        </is>
      </c>
      <c r="F121" s="10" t="n">
        <v>101</v>
      </c>
      <c r="G121" s="10" t="n">
        <v>101</v>
      </c>
      <c r="H121" s="2" t="inlineStr">
        <is>
          <t>market, last minute before the close (lifecycle)</t>
        </is>
      </c>
      <c r="I121" s="5" t="n">
        <v>25.055</v>
      </c>
      <c r="J121" s="2" t="inlineStr">
        <is>
          <t>filled</t>
        </is>
      </c>
      <c r="K121" s="5" t="n">
        <v>25.1</v>
      </c>
      <c r="L121" s="5" t="n"/>
      <c r="M121" s="11" t="n"/>
      <c r="N121" s="10">
        <f>IFERROR(G121*IF(K121&lt;&gt;"",K121,I121),"")</f>
        <v/>
      </c>
      <c r="O121" s="2" t="inlineStr">
        <is>
          <t>fund-lc-2026-10-22-KHC-close</t>
        </is>
      </c>
    </row>
    <row r="122">
      <c r="A122" s="2" t="inlineStr">
        <is>
          <t>2026-10-21</t>
        </is>
      </c>
      <c r="B122" s="2" t="inlineStr">
        <is>
          <t>2026-10-22</t>
        </is>
      </c>
      <c r="C122" s="2" t="inlineStr">
        <is>
          <t>LRCX</t>
        </is>
      </c>
      <c r="D122" s="2" t="inlineStr">
        <is>
          <t>rebalance</t>
        </is>
      </c>
      <c r="E122" s="2" t="inlineStr">
        <is>
          <t>sell</t>
        </is>
      </c>
      <c r="F122" s="10" t="n">
        <v>13</v>
      </c>
      <c r="G122" s="10" t="n">
        <v>13</v>
      </c>
      <c r="H122" s="2" t="inlineStr">
        <is>
          <t>market, last minute before the close (lifecycle)</t>
        </is>
      </c>
      <c r="I122" s="5" t="n">
        <v>230.07</v>
      </c>
      <c r="J122" s="2" t="inlineStr">
        <is>
          <t>filled</t>
        </is>
      </c>
      <c r="K122" s="5" t="n">
        <v>230.03</v>
      </c>
      <c r="L122" s="5" t="n"/>
      <c r="M122" s="11" t="n"/>
      <c r="N122" s="10">
        <f>IFERROR(G122*IF(K122&lt;&gt;"",K122,I122),"")</f>
        <v/>
      </c>
      <c r="O122" s="2" t="inlineStr">
        <is>
          <t>fund-lc-2026-10-22-LRCX-rebalance</t>
        </is>
      </c>
    </row>
    <row r="123">
      <c r="A123" s="2" t="inlineStr">
        <is>
          <t>2026-10-21</t>
        </is>
      </c>
      <c r="B123" s="2" t="inlineStr">
        <is>
          <t>2026-10-22</t>
        </is>
      </c>
      <c r="C123" s="2" t="inlineStr">
        <is>
          <t>META</t>
        </is>
      </c>
      <c r="D123" s="2" t="inlineStr">
        <is>
          <t>rebalance</t>
        </is>
      </c>
      <c r="E123" s="2" t="inlineStr">
        <is>
          <t>buy</t>
        </is>
      </c>
      <c r="F123" s="10" t="n">
        <v>7</v>
      </c>
      <c r="G123" s="10" t="n">
        <v>7</v>
      </c>
      <c r="H123" s="2" t="inlineStr">
        <is>
          <t>market, last minute before the close (lifecycle)</t>
        </is>
      </c>
      <c r="I123" s="5" t="n">
        <v>648.225</v>
      </c>
      <c r="J123" s="2" t="inlineStr">
        <is>
          <t>filled</t>
        </is>
      </c>
      <c r="K123" s="5" t="n">
        <v>648.394286</v>
      </c>
      <c r="L123" s="5" t="n"/>
      <c r="M123" s="11" t="n"/>
      <c r="N123" s="10">
        <f>IFERROR(G123*IF(K123&lt;&gt;"",K123,I123),"")</f>
        <v/>
      </c>
      <c r="O123" s="2" t="inlineStr">
        <is>
          <t>fund-lc-2026-10-22-META-rebalance</t>
        </is>
      </c>
    </row>
    <row r="124">
      <c r="A124" s="2" t="inlineStr">
        <is>
          <t>2026-10-21</t>
        </is>
      </c>
      <c r="B124" s="2" t="inlineStr">
        <is>
          <t>2026-10-22</t>
        </is>
      </c>
      <c r="C124" s="2" t="inlineStr">
        <is>
          <t>MMM</t>
        </is>
      </c>
      <c r="D124" s="2" t="inlineStr">
        <is>
          <t>rebalance</t>
        </is>
      </c>
      <c r="E124" s="2" t="inlineStr">
        <is>
          <t>buy</t>
        </is>
      </c>
      <c r="F124" s="10" t="n">
        <v>15</v>
      </c>
      <c r="G124" s="10" t="n">
        <v>15</v>
      </c>
      <c r="H124" s="2" t="inlineStr">
        <is>
          <t>market, last minute before the close (lifecycle)</t>
        </is>
      </c>
      <c r="I124" s="5" t="n">
        <v>176.05</v>
      </c>
      <c r="J124" s="2" t="inlineStr">
        <is>
          <t>filled</t>
        </is>
      </c>
      <c r="K124" s="5" t="n">
        <v>175.868</v>
      </c>
      <c r="L124" s="5" t="n"/>
      <c r="M124" s="11" t="n"/>
      <c r="N124" s="10">
        <f>IFERROR(G124*IF(K124&lt;&gt;"",K124,I124),"")</f>
        <v/>
      </c>
      <c r="O124" s="2" t="inlineStr">
        <is>
          <t>fund-lc-2026-10-22-MMM-rebalance</t>
        </is>
      </c>
    </row>
    <row r="125">
      <c r="A125" s="2" t="inlineStr">
        <is>
          <t>2026-10-21</t>
        </is>
      </c>
      <c r="B125" s="2" t="inlineStr">
        <is>
          <t>2026-10-22</t>
        </is>
      </c>
      <c r="C125" s="2" t="inlineStr">
        <is>
          <t>MSFT</t>
        </is>
      </c>
      <c r="D125" s="2" t="inlineStr">
        <is>
          <t>rebalance</t>
        </is>
      </c>
      <c r="E125" s="2" t="inlineStr">
        <is>
          <t>sell</t>
        </is>
      </c>
      <c r="F125" s="10" t="n">
        <v>5</v>
      </c>
      <c r="G125" s="10" t="n">
        <v>5</v>
      </c>
      <c r="H125" s="2" t="inlineStr">
        <is>
          <t>market, last minute before the close (lifecycle)</t>
        </is>
      </c>
      <c r="I125" s="5" t="n">
        <v>521.04</v>
      </c>
      <c r="J125" s="2" t="inlineStr">
        <is>
          <t>filled</t>
        </is>
      </c>
      <c r="K125" s="5" t="n">
        <v>520.91</v>
      </c>
      <c r="L125" s="5" t="n"/>
      <c r="M125" s="11" t="n"/>
      <c r="N125" s="10">
        <f>IFERROR(G125*IF(K125&lt;&gt;"",K125,I125),"")</f>
        <v/>
      </c>
      <c r="O125" s="2" t="inlineStr">
        <is>
          <t>fund-lc-2026-10-22-MSFT-rebalance</t>
        </is>
      </c>
    </row>
    <row r="126">
      <c r="A126" s="2" t="inlineStr">
        <is>
          <t>2026-10-21</t>
        </is>
      </c>
      <c r="B126" s="2" t="inlineStr">
        <is>
          <t>2026-10-22</t>
        </is>
      </c>
      <c r="C126" s="2" t="inlineStr">
        <is>
          <t>NFLX</t>
        </is>
      </c>
      <c r="D126" s="2" t="inlineStr">
        <is>
          <t>rebalance</t>
        </is>
      </c>
      <c r="E126" s="2" t="inlineStr">
        <is>
          <t>sell</t>
        </is>
      </c>
      <c r="F126" s="10" t="n">
        <v>42</v>
      </c>
      <c r="G126" s="10" t="n">
        <v>42</v>
      </c>
      <c r="H126" s="2" t="inlineStr">
        <is>
          <t>market, last minute before the close (lifecycle)</t>
        </is>
      </c>
      <c r="I126" s="5" t="n">
        <v>67.035</v>
      </c>
      <c r="J126" s="2" t="inlineStr">
        <is>
          <t>filled</t>
        </is>
      </c>
      <c r="K126" s="5" t="n">
        <v>67.04000000000001</v>
      </c>
      <c r="L126" s="5" t="n"/>
      <c r="M126" s="11" t="n"/>
      <c r="N126" s="10">
        <f>IFERROR(G126*IF(K126&lt;&gt;"",K126,I126),"")</f>
        <v/>
      </c>
      <c r="O126" s="2" t="inlineStr">
        <is>
          <t>fund-lc-2026-10-22-NFLX-rebalance</t>
        </is>
      </c>
    </row>
    <row r="127">
      <c r="A127" s="2" t="inlineStr">
        <is>
          <t>2026-10-21</t>
        </is>
      </c>
      <c r="B127" s="2" t="inlineStr">
        <is>
          <t>2026-10-22</t>
        </is>
      </c>
      <c r="C127" s="2" t="inlineStr">
        <is>
          <t>ROL</t>
        </is>
      </c>
      <c r="D127" s="2" t="inlineStr">
        <is>
          <t>rebalance</t>
        </is>
      </c>
      <c r="E127" s="2" t="inlineStr">
        <is>
          <t>sell</t>
        </is>
      </c>
      <c r="F127" s="10" t="n">
        <v>199</v>
      </c>
      <c r="G127" s="10" t="n">
        <v>199</v>
      </c>
      <c r="H127" s="2" t="inlineStr">
        <is>
          <t>market, last minute before the close (lifecycle)</t>
        </is>
      </c>
      <c r="I127" s="5" t="n">
        <v>35.26</v>
      </c>
      <c r="J127" s="2" t="inlineStr">
        <is>
          <t>filled</t>
        </is>
      </c>
      <c r="K127" s="5" t="n">
        <v>35.28</v>
      </c>
      <c r="L127" s="5" t="n"/>
      <c r="M127" s="11" t="n"/>
      <c r="N127" s="10">
        <f>IFERROR(G127*IF(K127&lt;&gt;"",K127,I127),"")</f>
        <v/>
      </c>
      <c r="O127" s="2" t="inlineStr">
        <is>
          <t>fund-lc-2026-10-22-ROL-rebalance</t>
        </is>
      </c>
    </row>
    <row r="128">
      <c r="A128" s="2" t="inlineStr">
        <is>
          <t>2026-10-21</t>
        </is>
      </c>
      <c r="B128" s="2" t="inlineStr">
        <is>
          <t>2026-10-22</t>
        </is>
      </c>
      <c r="C128" s="2" t="inlineStr">
        <is>
          <t>SMCI</t>
        </is>
      </c>
      <c r="D128" s="2" t="inlineStr">
        <is>
          <t>rebalance</t>
        </is>
      </c>
      <c r="E128" s="2" t="inlineStr">
        <is>
          <t>buy</t>
        </is>
      </c>
      <c r="F128" s="10" t="n">
        <v>173</v>
      </c>
      <c r="G128" s="10" t="n">
        <v>173</v>
      </c>
      <c r="H128" s="2" t="inlineStr">
        <is>
          <t>market, last minute before the close (lifecycle)</t>
        </is>
      </c>
      <c r="I128" s="5" t="n">
        <v>33.68</v>
      </c>
      <c r="J128" s="2" t="inlineStr">
        <is>
          <t>filled</t>
        </is>
      </c>
      <c r="K128" s="5" t="n">
        <v>33.72</v>
      </c>
      <c r="L128" s="5" t="n"/>
      <c r="M128" s="11" t="n"/>
      <c r="N128" s="10">
        <f>IFERROR(G128*IF(K128&lt;&gt;"",K128,I128),"")</f>
        <v/>
      </c>
      <c r="O128" s="2" t="inlineStr">
        <is>
          <t>fund-lc-2026-10-22-SMCI-rebalance</t>
        </is>
      </c>
    </row>
    <row r="129">
      <c r="A129" s="2" t="inlineStr">
        <is>
          <t>2026-10-21</t>
        </is>
      </c>
      <c r="B129" s="2" t="inlineStr">
        <is>
          <t>2026-10-22</t>
        </is>
      </c>
      <c r="C129" s="2" t="inlineStr">
        <is>
          <t>SPY</t>
        </is>
      </c>
      <c r="D129" s="2" t="inlineStr">
        <is>
          <t>rebalance</t>
        </is>
      </c>
      <c r="E129" s="2" t="inlineStr">
        <is>
          <t>sell</t>
        </is>
      </c>
      <c r="F129" s="10" t="n">
        <v>10</v>
      </c>
      <c r="G129" s="10" t="n">
        <v>10</v>
      </c>
      <c r="H129" s="2" t="inlineStr">
        <is>
          <t>market, last minute before the close (lifecycle)</t>
        </is>
      </c>
      <c r="I129" s="5" t="n">
        <v>763.54</v>
      </c>
      <c r="J129" s="2" t="inlineStr">
        <is>
          <t>filled</t>
        </is>
      </c>
      <c r="K129" s="5" t="n">
        <v>763.499</v>
      </c>
      <c r="L129" s="5" t="n"/>
      <c r="M129" s="11" t="n"/>
      <c r="N129" s="10">
        <f>IFERROR(G129*IF(K129&lt;&gt;"",K129,I129),"")</f>
        <v/>
      </c>
      <c r="O129" s="2" t="inlineStr">
        <is>
          <t>fund-lc-2026-10-22-SPY-rebalance</t>
        </is>
      </c>
    </row>
    <row r="130">
      <c r="A130" s="2" t="inlineStr">
        <is>
          <t>2026-10-21</t>
        </is>
      </c>
      <c r="B130" s="2" t="inlineStr">
        <is>
          <t>2026-10-22</t>
        </is>
      </c>
      <c r="C130" s="2" t="inlineStr">
        <is>
          <t>STT</t>
        </is>
      </c>
      <c r="D130" s="2" t="inlineStr">
        <is>
          <t>close</t>
        </is>
      </c>
      <c r="E130" s="2" t="inlineStr">
        <is>
          <t>buy</t>
        </is>
      </c>
      <c r="F130" s="10" t="n">
        <v>14</v>
      </c>
      <c r="G130" s="10" t="n">
        <v>14</v>
      </c>
      <c r="H130" s="2" t="inlineStr">
        <is>
          <t>market, last minute before the close (lifecycle)</t>
        </is>
      </c>
      <c r="I130" s="5" t="n">
        <v>167.515</v>
      </c>
      <c r="J130" s="2" t="inlineStr">
        <is>
          <t>filled</t>
        </is>
      </c>
      <c r="K130" s="5" t="n">
        <v>167.732857</v>
      </c>
      <c r="L130" s="5" t="n"/>
      <c r="M130" s="11" t="n"/>
      <c r="N130" s="10">
        <f>IFERROR(G130*IF(K130&lt;&gt;"",K130,I130),"")</f>
        <v/>
      </c>
      <c r="O130" s="2" t="inlineStr">
        <is>
          <t>fund-lc-2026-10-22-STT-close</t>
        </is>
      </c>
    </row>
    <row r="131">
      <c r="A131" s="2" t="inlineStr">
        <is>
          <t>2026-10-21</t>
        </is>
      </c>
      <c r="B131" s="2" t="inlineStr">
        <is>
          <t>2026-10-22</t>
        </is>
      </c>
      <c r="C131" s="2" t="inlineStr">
        <is>
          <t>TSLA</t>
        </is>
      </c>
      <c r="D131" s="2" t="inlineStr">
        <is>
          <t>rebalance</t>
        </is>
      </c>
      <c r="E131" s="2" t="inlineStr">
        <is>
          <t>buy</t>
        </is>
      </c>
      <c r="F131" s="10" t="n">
        <v>13</v>
      </c>
      <c r="G131" s="10" t="n">
        <v>13</v>
      </c>
      <c r="H131" s="2" t="inlineStr">
        <is>
          <t>market, last minute before the close (lifecycle)</t>
        </is>
      </c>
      <c r="I131" s="5" t="n">
        <v>377.545</v>
      </c>
      <c r="J131" s="2" t="inlineStr">
        <is>
          <t>filled</t>
        </is>
      </c>
      <c r="K131" s="5" t="n">
        <v>375.053077</v>
      </c>
      <c r="L131" s="5" t="n"/>
      <c r="M131" s="11" t="n"/>
      <c r="N131" s="10">
        <f>IFERROR(G131*IF(K131&lt;&gt;"",K131,I131),"")</f>
        <v/>
      </c>
      <c r="O131" s="2" t="inlineStr">
        <is>
          <t>fund-lc-2026-10-22-TSLA-rebalance</t>
        </is>
      </c>
    </row>
    <row r="132">
      <c r="A132" s="2" t="inlineStr">
        <is>
          <t>2026-10-21</t>
        </is>
      </c>
      <c r="B132" s="2" t="inlineStr">
        <is>
          <t>2026-10-22</t>
        </is>
      </c>
      <c r="C132" s="2" t="inlineStr">
        <is>
          <t>WMT</t>
        </is>
      </c>
      <c r="D132" s="2" t="inlineStr">
        <is>
          <t>rebalance</t>
        </is>
      </c>
      <c r="E132" s="2" t="inlineStr">
        <is>
          <t>buy</t>
        </is>
      </c>
      <c r="F132" s="10" t="n">
        <v>24</v>
      </c>
      <c r="G132" s="10" t="n">
        <v>24</v>
      </c>
      <c r="H132" s="2" t="inlineStr">
        <is>
          <t>market, last minute before the close (lifecycle)</t>
        </is>
      </c>
      <c r="I132" s="5" t="n">
        <v>121.09</v>
      </c>
      <c r="J132" s="2" t="inlineStr">
        <is>
          <t>filled</t>
        </is>
      </c>
      <c r="K132" s="5" t="n">
        <v>121.07</v>
      </c>
      <c r="L132" s="5" t="n"/>
      <c r="M132" s="11" t="n"/>
      <c r="N132" s="10">
        <f>IFERROR(G132*IF(K132&lt;&gt;"",K132,I132),"")</f>
        <v/>
      </c>
      <c r="O132" s="2" t="inlineStr">
        <is>
          <t>fund-lc-2026-10-22-WMT-rebalance</t>
        </is>
      </c>
    </row>
    <row r="133">
      <c r="A133" s="2" t="inlineStr">
        <is>
          <t>2026-10-21</t>
        </is>
      </c>
      <c r="B133" s="2" t="inlineStr">
        <is>
          <t>2026-10-22</t>
        </is>
      </c>
      <c r="C133" s="2" t="inlineStr">
        <is>
          <t>XOM</t>
        </is>
      </c>
      <c r="D133" s="2" t="inlineStr">
        <is>
          <t>rebalance</t>
        </is>
      </c>
      <c r="E133" s="2" t="inlineStr">
        <is>
          <t>buy</t>
        </is>
      </c>
      <c r="F133" s="10" t="n">
        <v>14</v>
      </c>
      <c r="G133" s="10" t="n">
        <v>14</v>
      </c>
      <c r="H133" s="2" t="inlineStr">
        <is>
          <t>market, last minute before the close (lifecycle)</t>
        </is>
      </c>
      <c r="I133" s="5" t="n">
        <v>177.95</v>
      </c>
      <c r="J133" s="2" t="inlineStr">
        <is>
          <t>filled</t>
        </is>
      </c>
      <c r="K133" s="5" t="n">
        <v>177.92</v>
      </c>
      <c r="L133" s="5" t="n"/>
      <c r="M133" s="11" t="n"/>
      <c r="N133" s="10">
        <f>IFERROR(G133*IF(K133&lt;&gt;"",K133,I133),"")</f>
        <v/>
      </c>
      <c r="O133" s="2" t="inlineStr">
        <is>
          <t>fund-lc-2026-10-22-XOM-rebalance</t>
        </is>
      </c>
    </row>
    <row r="134">
      <c r="A134" s="2" t="inlineStr">
        <is>
          <t>2026-10-21</t>
        </is>
      </c>
      <c r="B134" s="2" t="inlineStr">
        <is>
          <t>2026-10-23</t>
        </is>
      </c>
      <c r="C134" s="2" t="inlineStr">
        <is>
          <t>AMD</t>
        </is>
      </c>
      <c r="D134" s="2" t="inlineStr">
        <is>
          <t>close</t>
        </is>
      </c>
      <c r="E134" s="2" t="inlineStr">
        <is>
          <t>buy</t>
        </is>
      </c>
      <c r="F134" s="10" t="n">
        <v>5</v>
      </c>
      <c r="G134" s="10" t="n">
        <v>5</v>
      </c>
      <c r="H134" s="2" t="inlineStr">
        <is>
          <t>market, last minute before the close (lifecycle)</t>
        </is>
      </c>
      <c r="I134" s="5" t="n">
        <v>514.98</v>
      </c>
      <c r="J134" s="2" t="inlineStr">
        <is>
          <t>filled</t>
        </is>
      </c>
      <c r="K134" s="5" t="n">
        <v>516.37</v>
      </c>
      <c r="L134" s="5" t="n"/>
      <c r="M134" s="11" t="n"/>
      <c r="N134" s="10">
        <f>IFERROR(G134*IF(K134&lt;&gt;"",K134,I134),"")</f>
        <v/>
      </c>
      <c r="O134" s="2" t="inlineStr">
        <is>
          <t>fund-lc-2026-10-23-AMD-close</t>
        </is>
      </c>
    </row>
    <row r="135">
      <c r="A135" s="2" t="inlineStr">
        <is>
          <t>2026-10-21</t>
        </is>
      </c>
      <c r="B135" s="2" t="inlineStr">
        <is>
          <t>2026-10-23</t>
        </is>
      </c>
      <c r="C135" s="2" t="inlineStr">
        <is>
          <t>CMG</t>
        </is>
      </c>
      <c r="D135" s="2" t="inlineStr">
        <is>
          <t>rebalance</t>
        </is>
      </c>
      <c r="E135" s="2" t="inlineStr">
        <is>
          <t>buy</t>
        </is>
      </c>
      <c r="F135" s="10" t="n">
        <v>1</v>
      </c>
      <c r="G135" s="10" t="n">
        <v>1</v>
      </c>
      <c r="H135" s="2" t="inlineStr">
        <is>
          <t>market, last minute before the close (lifecycle)</t>
        </is>
      </c>
      <c r="I135" s="5" t="n">
        <v>27.475</v>
      </c>
      <c r="J135" s="2" t="inlineStr">
        <is>
          <t>filled</t>
        </is>
      </c>
      <c r="K135" s="5" t="n">
        <v>27.51</v>
      </c>
      <c r="L135" s="5" t="n"/>
      <c r="M135" s="11" t="n"/>
      <c r="N135" s="10">
        <f>IFERROR(G135*IF(K135&lt;&gt;"",K135,I135),"")</f>
        <v/>
      </c>
      <c r="O135" s="2" t="inlineStr">
        <is>
          <t>fund-lc-2026-10-23-CMG-rebalance</t>
        </is>
      </c>
    </row>
    <row r="136">
      <c r="A136" s="2" t="inlineStr">
        <is>
          <t>2026-10-21</t>
        </is>
      </c>
      <c r="B136" s="2" t="inlineStr">
        <is>
          <t>2026-10-23</t>
        </is>
      </c>
      <c r="C136" s="2" t="inlineStr">
        <is>
          <t>CRM</t>
        </is>
      </c>
      <c r="D136" s="2" t="inlineStr">
        <is>
          <t>rebalance</t>
        </is>
      </c>
      <c r="E136" s="2" t="inlineStr">
        <is>
          <t>sell</t>
        </is>
      </c>
      <c r="F136" s="10" t="n">
        <v>6</v>
      </c>
      <c r="G136" s="10" t="n">
        <v>6</v>
      </c>
      <c r="H136" s="2" t="inlineStr">
        <is>
          <t>market, last minute before the close (lifecycle)</t>
        </is>
      </c>
      <c r="I136" s="5" t="n">
        <v>248.55</v>
      </c>
      <c r="J136" s="2" t="inlineStr">
        <is>
          <t>filled</t>
        </is>
      </c>
      <c r="K136" s="5" t="n">
        <v>248.816667</v>
      </c>
      <c r="L136" s="5" t="n"/>
      <c r="M136" s="11" t="n"/>
      <c r="N136" s="10">
        <f>IFERROR(G136*IF(K136&lt;&gt;"",K136,I136),"")</f>
        <v/>
      </c>
      <c r="O136" s="2" t="inlineStr">
        <is>
          <t>fund-lc-2026-10-23-CRM-rebalance</t>
        </is>
      </c>
    </row>
    <row r="137">
      <c r="A137" s="2" t="inlineStr">
        <is>
          <t>2026-10-21</t>
        </is>
      </c>
      <c r="B137" s="2" t="inlineStr">
        <is>
          <t>2026-10-23</t>
        </is>
      </c>
      <c r="C137" s="2" t="inlineStr">
        <is>
          <t>CSX</t>
        </is>
      </c>
      <c r="D137" s="2" t="inlineStr">
        <is>
          <t>rebalance</t>
        </is>
      </c>
      <c r="E137" s="2" t="inlineStr">
        <is>
          <t>buy</t>
        </is>
      </c>
      <c r="F137" s="10" t="n">
        <v>61</v>
      </c>
      <c r="G137" s="10" t="n">
        <v>61</v>
      </c>
      <c r="H137" s="2" t="inlineStr">
        <is>
          <t>market, last minute before the close (lifecycle)</t>
        </is>
      </c>
      <c r="I137" s="5" t="n">
        <v>50.855</v>
      </c>
      <c r="J137" s="2" t="inlineStr">
        <is>
          <t>filled</t>
        </is>
      </c>
      <c r="K137" s="5" t="n">
        <v>50.827705</v>
      </c>
      <c r="L137" s="5" t="n"/>
      <c r="M137" s="11" t="n"/>
      <c r="N137" s="10">
        <f>IFERROR(G137*IF(K137&lt;&gt;"",K137,I137),"")</f>
        <v/>
      </c>
      <c r="O137" s="2" t="inlineStr">
        <is>
          <t>fund-lc-2026-10-23-CSX-rebalance</t>
        </is>
      </c>
    </row>
    <row r="138">
      <c r="A138" s="2" t="inlineStr">
        <is>
          <t>2026-10-21</t>
        </is>
      </c>
      <c r="B138" s="2" t="inlineStr">
        <is>
          <t>2026-10-23</t>
        </is>
      </c>
      <c r="C138" s="2" t="inlineStr">
        <is>
          <t>META</t>
        </is>
      </c>
      <c r="D138" s="2" t="inlineStr">
        <is>
          <t>close</t>
        </is>
      </c>
      <c r="E138" s="2" t="inlineStr">
        <is>
          <t>sell</t>
        </is>
      </c>
      <c r="F138" s="10" t="n">
        <v>7</v>
      </c>
      <c r="G138" s="10" t="n">
        <v>7</v>
      </c>
      <c r="H138" s="2" t="inlineStr">
        <is>
          <t>market, last minute before the close (lifecycle)</t>
        </is>
      </c>
      <c r="I138" s="5" t="n">
        <v>642.715</v>
      </c>
      <c r="J138" s="2" t="inlineStr">
        <is>
          <t>filled</t>
        </is>
      </c>
      <c r="K138" s="5" t="n">
        <v>642.86</v>
      </c>
      <c r="L138" s="5" t="n"/>
      <c r="M138" s="11" t="n"/>
      <c r="N138" s="10">
        <f>IFERROR(G138*IF(K138&lt;&gt;"",K138,I138),"")</f>
        <v/>
      </c>
      <c r="O138" s="2" t="inlineStr">
        <is>
          <t>fund-lc-2026-10-23-META-close</t>
        </is>
      </c>
    </row>
    <row r="139">
      <c r="A139" s="2" t="inlineStr">
        <is>
          <t>2026-10-21</t>
        </is>
      </c>
      <c r="B139" s="2" t="inlineStr">
        <is>
          <t>2026-10-23</t>
        </is>
      </c>
      <c r="C139" s="2" t="inlineStr">
        <is>
          <t>ROL</t>
        </is>
      </c>
      <c r="D139" s="2" t="inlineStr">
        <is>
          <t>rebalance</t>
        </is>
      </c>
      <c r="E139" s="2" t="inlineStr">
        <is>
          <t>buy</t>
        </is>
      </c>
      <c r="F139" s="10" t="n">
        <v>1</v>
      </c>
      <c r="G139" s="10" t="n">
        <v>1</v>
      </c>
      <c r="H139" s="2" t="inlineStr">
        <is>
          <t>market, last minute before the close (lifecycle)</t>
        </is>
      </c>
      <c r="I139" s="5" t="n">
        <v>34.85</v>
      </c>
      <c r="J139" s="2" t="inlineStr">
        <is>
          <t>filled</t>
        </is>
      </c>
      <c r="K139" s="5" t="n">
        <v>34.88</v>
      </c>
      <c r="L139" s="5" t="n"/>
      <c r="M139" s="11" t="n"/>
      <c r="N139" s="10">
        <f>IFERROR(G139*IF(K139&lt;&gt;"",K139,I139),"")</f>
        <v/>
      </c>
      <c r="O139" s="2" t="inlineStr">
        <is>
          <t>fund-lc-2026-10-23-ROL-rebalance</t>
        </is>
      </c>
    </row>
    <row r="140">
      <c r="A140" s="2" t="inlineStr">
        <is>
          <t>2026-10-21</t>
        </is>
      </c>
      <c r="B140" s="2" t="inlineStr">
        <is>
          <t>2026-10-23</t>
        </is>
      </c>
      <c r="C140" s="2" t="inlineStr">
        <is>
          <t>SMCI</t>
        </is>
      </c>
      <c r="D140" s="2" t="inlineStr">
        <is>
          <t>rebalance</t>
        </is>
      </c>
      <c r="E140" s="2" t="inlineStr">
        <is>
          <t>buy</t>
        </is>
      </c>
      <c r="F140" s="10" t="n">
        <v>94</v>
      </c>
      <c r="G140" s="10" t="n">
        <v>94</v>
      </c>
      <c r="H140" s="2" t="inlineStr">
        <is>
          <t>market, last minute before the close (lifecycle)</t>
        </is>
      </c>
      <c r="I140" s="5" t="n">
        <v>32.885</v>
      </c>
      <c r="J140" s="2" t="inlineStr">
        <is>
          <t>filled</t>
        </is>
      </c>
      <c r="K140" s="5" t="n">
        <v>32.98</v>
      </c>
      <c r="L140" s="5" t="n"/>
      <c r="M140" s="11" t="n"/>
      <c r="N140" s="10">
        <f>IFERROR(G140*IF(K140&lt;&gt;"",K140,I140),"")</f>
        <v/>
      </c>
      <c r="O140" s="2" t="inlineStr">
        <is>
          <t>fund-lc-2026-10-23-SMCI-rebalance</t>
        </is>
      </c>
    </row>
    <row r="141">
      <c r="A141" s="2" t="inlineStr">
        <is>
          <t>2026-10-21</t>
        </is>
      </c>
      <c r="B141" s="2" t="inlineStr">
        <is>
          <t>2026-10-23</t>
        </is>
      </c>
      <c r="C141" s="2" t="inlineStr">
        <is>
          <t>SPY</t>
        </is>
      </c>
      <c r="D141" s="2" t="inlineStr">
        <is>
          <t>rebalance</t>
        </is>
      </c>
      <c r="E141" s="2" t="inlineStr">
        <is>
          <t>sell</t>
        </is>
      </c>
      <c r="F141" s="10" t="n">
        <v>15</v>
      </c>
      <c r="G141" s="10" t="n">
        <v>15</v>
      </c>
      <c r="H141" s="2" t="inlineStr">
        <is>
          <t>market, last minute before the close (lifecycle)</t>
        </is>
      </c>
      <c r="I141" s="5" t="n">
        <v>759.85</v>
      </c>
      <c r="J141" s="2" t="inlineStr">
        <is>
          <t>filled</t>
        </is>
      </c>
      <c r="K141" s="5" t="n">
        <v>760.1799999999999</v>
      </c>
      <c r="L141" s="5" t="n"/>
      <c r="M141" s="11" t="n"/>
      <c r="N141" s="10">
        <f>IFERROR(G141*IF(K141&lt;&gt;"",K141,I141),"")</f>
        <v/>
      </c>
      <c r="O141" s="2" t="inlineStr">
        <is>
          <t>fund-lc-2026-10-23-SPY-rebalance</t>
        </is>
      </c>
    </row>
    <row r="142">
      <c r="A142" s="2" t="inlineStr">
        <is>
          <t>2026-10-21</t>
        </is>
      </c>
      <c r="B142" s="2" t="inlineStr">
        <is>
          <t>2026-10-23</t>
        </is>
      </c>
      <c r="C142" s="2" t="inlineStr">
        <is>
          <t>TSLA</t>
        </is>
      </c>
      <c r="D142" s="2" t="inlineStr">
        <is>
          <t>rebalance</t>
        </is>
      </c>
      <c r="E142" s="2" t="inlineStr">
        <is>
          <t>buy</t>
        </is>
      </c>
      <c r="F142" s="10" t="n">
        <v>7</v>
      </c>
      <c r="G142" s="10" t="n">
        <v>7</v>
      </c>
      <c r="H142" s="2" t="inlineStr">
        <is>
          <t>market, last minute before the close (lifecycle)</t>
        </is>
      </c>
      <c r="I142" s="5" t="n">
        <v>372.49</v>
      </c>
      <c r="J142" s="2" t="inlineStr">
        <is>
          <t>filled</t>
        </is>
      </c>
      <c r="K142" s="5" t="n">
        <v>372.461429</v>
      </c>
      <c r="L142" s="5" t="n"/>
      <c r="M142" s="11" t="n"/>
      <c r="N142" s="10">
        <f>IFERROR(G142*IF(K142&lt;&gt;"",K142,I142),"")</f>
        <v/>
      </c>
      <c r="O142" s="2" t="inlineStr">
        <is>
          <t>fund-lc-2026-10-23-TSLA-rebalance</t>
        </is>
      </c>
    </row>
    <row r="143">
      <c r="A143" s="2" t="inlineStr">
        <is>
          <t>2026-10-21</t>
        </is>
      </c>
      <c r="B143" s="2" t="inlineStr">
        <is>
          <t>2026-10-26</t>
        </is>
      </c>
      <c r="C143" s="2" t="inlineStr">
        <is>
          <t>LRCX</t>
        </is>
      </c>
      <c r="D143" s="2" t="inlineStr">
        <is>
          <t>rebalance</t>
        </is>
      </c>
      <c r="E143" s="2" t="inlineStr">
        <is>
          <t>buy</t>
        </is>
      </c>
      <c r="F143" s="10" t="n">
        <v>6</v>
      </c>
      <c r="G143" s="10" t="n">
        <v>6</v>
      </c>
      <c r="H143" s="2" t="inlineStr">
        <is>
          <t>market, last minute before the close (lifecycle)</t>
        </is>
      </c>
      <c r="I143" s="5" t="n">
        <v>237.33</v>
      </c>
      <c r="J143" s="2" t="inlineStr">
        <is>
          <t>filled</t>
        </is>
      </c>
      <c r="K143" s="5" t="n">
        <v>237.291667</v>
      </c>
      <c r="L143" s="5" t="n"/>
      <c r="M143" s="11" t="n"/>
      <c r="N143" s="10">
        <f>IFERROR(G143*IF(K143&lt;&gt;"",K143,I143),"")</f>
        <v/>
      </c>
      <c r="O143" s="2" t="inlineStr">
        <is>
          <t>fund-lc-2026-10-26-LRCX-rebalance</t>
        </is>
      </c>
    </row>
    <row r="144">
      <c r="A144" s="2" t="inlineStr">
        <is>
          <t>2026-10-21</t>
        </is>
      </c>
      <c r="B144" s="2" t="inlineStr">
        <is>
          <t>2026-10-26</t>
        </is>
      </c>
      <c r="C144" s="2" t="inlineStr">
        <is>
          <t>NFLX</t>
        </is>
      </c>
      <c r="D144" s="2" t="inlineStr">
        <is>
          <t>rebalance</t>
        </is>
      </c>
      <c r="E144" s="2" t="inlineStr">
        <is>
          <t>sell</t>
        </is>
      </c>
      <c r="F144" s="10" t="n">
        <v>25</v>
      </c>
      <c r="G144" s="10" t="n">
        <v>25</v>
      </c>
      <c r="H144" s="2" t="inlineStr">
        <is>
          <t>market, last minute before the close (lifecycle)</t>
        </is>
      </c>
      <c r="I144" s="5" t="n">
        <v>63.94</v>
      </c>
      <c r="J144" s="2" t="inlineStr">
        <is>
          <t>filled</t>
        </is>
      </c>
      <c r="K144" s="5" t="n">
        <v>63.88</v>
      </c>
      <c r="L144" s="5" t="n"/>
      <c r="M144" s="11" t="n"/>
      <c r="N144" s="10">
        <f>IFERROR(G144*IF(K144&lt;&gt;"",K144,I144),"")</f>
        <v/>
      </c>
      <c r="O144" s="2" t="inlineStr">
        <is>
          <t>fund-lc-2026-10-26-NFLX-rebalance</t>
        </is>
      </c>
    </row>
    <row r="145">
      <c r="A145" s="2" t="inlineStr">
        <is>
          <t>2026-10-21</t>
        </is>
      </c>
      <c r="B145" s="2" t="inlineStr">
        <is>
          <t>2026-10-26</t>
        </is>
      </c>
      <c r="C145" s="2" t="inlineStr">
        <is>
          <t>ROL</t>
        </is>
      </c>
      <c r="D145" s="2" t="inlineStr">
        <is>
          <t>rebalance</t>
        </is>
      </c>
      <c r="E145" s="2" t="inlineStr">
        <is>
          <t>sell</t>
        </is>
      </c>
      <c r="F145" s="10" t="n">
        <v>85</v>
      </c>
      <c r="G145" s="10" t="n">
        <v>85</v>
      </c>
      <c r="H145" s="2" t="inlineStr">
        <is>
          <t>market, last minute before the close (lifecycle)</t>
        </is>
      </c>
      <c r="I145" s="5" t="n">
        <v>34.525</v>
      </c>
      <c r="J145" s="2" t="inlineStr">
        <is>
          <t>filled</t>
        </is>
      </c>
      <c r="K145" s="5" t="n">
        <v>34.49</v>
      </c>
      <c r="L145" s="5" t="n"/>
      <c r="M145" s="11" t="n"/>
      <c r="N145" s="10">
        <f>IFERROR(G145*IF(K145&lt;&gt;"",K145,I145),"")</f>
        <v/>
      </c>
      <c r="O145" s="2" t="inlineStr">
        <is>
          <t>fund-lc-2026-10-26-ROL-rebalance</t>
        </is>
      </c>
    </row>
    <row r="146">
      <c r="A146" s="2" t="inlineStr">
        <is>
          <t>2026-10-21</t>
        </is>
      </c>
      <c r="B146" s="2" t="inlineStr">
        <is>
          <t>2026-10-26</t>
        </is>
      </c>
      <c r="C146" s="2" t="inlineStr">
        <is>
          <t>SMCI</t>
        </is>
      </c>
      <c r="D146" s="2" t="inlineStr">
        <is>
          <t>rebalance</t>
        </is>
      </c>
      <c r="E146" s="2" t="inlineStr">
        <is>
          <t>sell</t>
        </is>
      </c>
      <c r="F146" s="10" t="n">
        <v>1</v>
      </c>
      <c r="G146" s="10" t="n">
        <v>1</v>
      </c>
      <c r="H146" s="2" t="inlineStr">
        <is>
          <t>market, last minute before the close (lifecycle)</t>
        </is>
      </c>
      <c r="I146" s="5" t="n">
        <v>32.675</v>
      </c>
      <c r="J146" s="2" t="inlineStr">
        <is>
          <t>filled</t>
        </is>
      </c>
      <c r="K146" s="5" t="n">
        <v>32.69</v>
      </c>
      <c r="L146" s="5" t="n"/>
      <c r="M146" s="11" t="n"/>
      <c r="N146" s="10">
        <f>IFERROR(G146*IF(K146&lt;&gt;"",K146,I146),"")</f>
        <v/>
      </c>
      <c r="O146" s="2" t="inlineStr">
        <is>
          <t>fund-lc-2026-10-26-SMCI-rebalance</t>
        </is>
      </c>
    </row>
    <row r="147">
      <c r="A147" s="2" t="inlineStr">
        <is>
          <t>2026-10-21</t>
        </is>
      </c>
      <c r="B147" s="2" t="inlineStr">
        <is>
          <t>2026-10-27</t>
        </is>
      </c>
      <c r="C147" s="2" t="inlineStr">
        <is>
          <t>AVGO</t>
        </is>
      </c>
      <c r="D147" s="2" t="inlineStr">
        <is>
          <t>close</t>
        </is>
      </c>
      <c r="E147" s="2" t="inlineStr">
        <is>
          <t>buy</t>
        </is>
      </c>
      <c r="F147" s="10" t="n">
        <v>7</v>
      </c>
      <c r="G147" s="10" t="n">
        <v>7</v>
      </c>
      <c r="H147" s="2" t="inlineStr">
        <is>
          <t>market, last minute before the close (lifecycle)</t>
        </is>
      </c>
      <c r="I147" s="5" t="n">
        <v>342.375</v>
      </c>
      <c r="J147" s="2" t="inlineStr">
        <is>
          <t>filled</t>
        </is>
      </c>
      <c r="K147" s="5" t="n">
        <v>342.442857</v>
      </c>
      <c r="L147" s="5" t="n"/>
      <c r="M147" s="11" t="n"/>
      <c r="N147" s="10">
        <f>IFERROR(G147*IF(K147&lt;&gt;"",K147,I147),"")</f>
        <v/>
      </c>
      <c r="O147" s="2" t="inlineStr">
        <is>
          <t>fund-lc-2026-10-27-AVGO-close</t>
        </is>
      </c>
    </row>
    <row r="148">
      <c r="A148" s="2" t="inlineStr">
        <is>
          <t>2026-10-21</t>
        </is>
      </c>
      <c r="B148" s="2" t="inlineStr">
        <is>
          <t>2026-10-27</t>
        </is>
      </c>
      <c r="C148" s="2" t="inlineStr">
        <is>
          <t>BA</t>
        </is>
      </c>
      <c r="D148" s="2" t="inlineStr">
        <is>
          <t>close</t>
        </is>
      </c>
      <c r="E148" s="2" t="inlineStr">
        <is>
          <t>sell</t>
        </is>
      </c>
      <c r="F148" s="10" t="n">
        <v>13</v>
      </c>
      <c r="G148" s="10" t="n">
        <v>13</v>
      </c>
      <c r="H148" s="2" t="inlineStr">
        <is>
          <t>market, last minute before the close (lifecycle)</t>
        </is>
      </c>
      <c r="I148" s="5" t="n">
        <v>167.835</v>
      </c>
      <c r="J148" s="2" t="inlineStr">
        <is>
          <t>filled</t>
        </is>
      </c>
      <c r="K148" s="5" t="n">
        <v>168.09</v>
      </c>
      <c r="L148" s="5" t="n"/>
      <c r="M148" s="11" t="n"/>
      <c r="N148" s="10">
        <f>IFERROR(G148*IF(K148&lt;&gt;"",K148,I148),"")</f>
        <v/>
      </c>
      <c r="O148" s="2" t="inlineStr">
        <is>
          <t>fund-lc-2026-10-27-BA-close</t>
        </is>
      </c>
    </row>
    <row r="149">
      <c r="A149" s="2" t="inlineStr">
        <is>
          <t>2026-10-21</t>
        </is>
      </c>
      <c r="B149" s="2" t="inlineStr">
        <is>
          <t>2026-10-27</t>
        </is>
      </c>
      <c r="C149" s="2" t="inlineStr">
        <is>
          <t>CRM</t>
        </is>
      </c>
      <c r="D149" s="2" t="inlineStr">
        <is>
          <t>close</t>
        </is>
      </c>
      <c r="E149" s="2" t="inlineStr">
        <is>
          <t>buy</t>
        </is>
      </c>
      <c r="F149" s="10" t="n">
        <v>18</v>
      </c>
      <c r="G149" s="10" t="n">
        <v>18</v>
      </c>
      <c r="H149" s="2" t="inlineStr">
        <is>
          <t>market, last minute before the close (lifecycle)</t>
        </is>
      </c>
      <c r="I149" s="5" t="n">
        <v>241.045</v>
      </c>
      <c r="J149" s="2" t="inlineStr">
        <is>
          <t>filled</t>
        </is>
      </c>
      <c r="K149" s="5" t="n">
        <v>240.841667</v>
      </c>
      <c r="L149" s="5" t="n"/>
      <c r="M149" s="11" t="n"/>
      <c r="N149" s="10">
        <f>IFERROR(G149*IF(K149&lt;&gt;"",K149,I149),"")</f>
        <v/>
      </c>
      <c r="O149" s="2" t="inlineStr">
        <is>
          <t>fund-lc-2026-10-27-CRM-close</t>
        </is>
      </c>
    </row>
    <row r="150">
      <c r="A150" s="2" t="inlineStr">
        <is>
          <t>2026-10-21</t>
        </is>
      </c>
      <c r="B150" s="2" t="inlineStr">
        <is>
          <t>2026-10-27</t>
        </is>
      </c>
      <c r="C150" s="2" t="inlineStr">
        <is>
          <t>MMM</t>
        </is>
      </c>
      <c r="D150" s="2" t="inlineStr">
        <is>
          <t>close</t>
        </is>
      </c>
      <c r="E150" s="2" t="inlineStr">
        <is>
          <t>sell</t>
        </is>
      </c>
      <c r="F150" s="10" t="n">
        <v>15</v>
      </c>
      <c r="G150" s="10" t="n">
        <v>15</v>
      </c>
      <c r="H150" s="2" t="inlineStr">
        <is>
          <t>market, last minute before the close (lifecycle)</t>
        </is>
      </c>
      <c r="I150" s="5" t="n">
        <v>171.94</v>
      </c>
      <c r="J150" s="2" t="inlineStr">
        <is>
          <t>filled</t>
        </is>
      </c>
      <c r="K150" s="5" t="n">
        <v>171.647334</v>
      </c>
      <c r="L150" s="5" t="n"/>
      <c r="M150" s="11" t="n"/>
      <c r="N150" s="10">
        <f>IFERROR(G150*IF(K150&lt;&gt;"",K150,I150),"")</f>
        <v/>
      </c>
      <c r="O150" s="2" t="inlineStr">
        <is>
          <t>fund-lc-2026-10-27-MMM-close</t>
        </is>
      </c>
    </row>
    <row r="151">
      <c r="A151" s="2" t="inlineStr">
        <is>
          <t>2026-10-21</t>
        </is>
      </c>
      <c r="B151" s="2" t="inlineStr">
        <is>
          <t>2026-10-27</t>
        </is>
      </c>
      <c r="C151" s="2" t="inlineStr">
        <is>
          <t>MRVL</t>
        </is>
      </c>
      <c r="D151" s="2" t="inlineStr">
        <is>
          <t>close</t>
        </is>
      </c>
      <c r="E151" s="2" t="inlineStr">
        <is>
          <t>sell</t>
        </is>
      </c>
      <c r="F151" s="10" t="n">
        <v>35</v>
      </c>
      <c r="G151" s="10" t="n">
        <v>35</v>
      </c>
      <c r="H151" s="2" t="inlineStr">
        <is>
          <t>market, last minute before the close (lifecycle)</t>
        </is>
      </c>
      <c r="I151" s="5" t="n">
        <v>243.865</v>
      </c>
      <c r="J151" s="2" t="inlineStr">
        <is>
          <t>filled</t>
        </is>
      </c>
      <c r="K151" s="5" t="n">
        <v>243.820286</v>
      </c>
      <c r="L151" s="5" t="n"/>
      <c r="M151" s="11" t="n"/>
      <c r="N151" s="10">
        <f>IFERROR(G151*IF(K151&lt;&gt;"",K151,I151),"")</f>
        <v/>
      </c>
      <c r="O151" s="2" t="inlineStr">
        <is>
          <t>fund-lc-2026-10-27-MRVL-close</t>
        </is>
      </c>
    </row>
    <row r="152">
      <c r="A152" s="2" t="inlineStr">
        <is>
          <t>2026-10-21</t>
        </is>
      </c>
      <c r="B152" s="2" t="inlineStr">
        <is>
          <t>2026-10-27</t>
        </is>
      </c>
      <c r="C152" s="2" t="inlineStr">
        <is>
          <t>NKE</t>
        </is>
      </c>
      <c r="D152" s="2" t="inlineStr">
        <is>
          <t>close</t>
        </is>
      </c>
      <c r="E152" s="2" t="inlineStr">
        <is>
          <t>buy</t>
        </is>
      </c>
      <c r="F152" s="10" t="n">
        <v>256</v>
      </c>
      <c r="G152" s="10" t="n">
        <v>256</v>
      </c>
      <c r="H152" s="2" t="inlineStr">
        <is>
          <t>market, last minute before the close (lifecycle)</t>
        </is>
      </c>
      <c r="I152" s="5" t="n">
        <v>37.555</v>
      </c>
      <c r="J152" s="2" t="inlineStr">
        <is>
          <t>filled</t>
        </is>
      </c>
      <c r="K152" s="5" t="n">
        <v>37.57</v>
      </c>
      <c r="L152" s="5" t="n"/>
      <c r="M152" s="11" t="n"/>
      <c r="N152" s="10">
        <f>IFERROR(G152*IF(K152&lt;&gt;"",K152,I152),"")</f>
        <v/>
      </c>
      <c r="O152" s="2" t="inlineStr">
        <is>
          <t>fund-lc-2026-10-27-NKE-close</t>
        </is>
      </c>
    </row>
    <row r="153">
      <c r="A153" s="2" t="inlineStr">
        <is>
          <t>2026-10-21</t>
        </is>
      </c>
      <c r="B153" s="2" t="inlineStr">
        <is>
          <t>2026-10-27</t>
        </is>
      </c>
      <c r="C153" s="2" t="inlineStr">
        <is>
          <t>WMT</t>
        </is>
      </c>
      <c r="D153" s="2" t="inlineStr">
        <is>
          <t>close</t>
        </is>
      </c>
      <c r="E153" s="2" t="inlineStr">
        <is>
          <t>sell</t>
        </is>
      </c>
      <c r="F153" s="10" t="n">
        <v>24</v>
      </c>
      <c r="G153" s="10" t="n">
        <v>24</v>
      </c>
      <c r="H153" s="2" t="inlineStr">
        <is>
          <t>market, last minute before the close (lifecycle)</t>
        </is>
      </c>
      <c r="I153" s="5" t="n">
        <v>119.385</v>
      </c>
      <c r="J153" s="2" t="inlineStr">
        <is>
          <t>filled</t>
        </is>
      </c>
      <c r="K153" s="5" t="n">
        <v>119.28</v>
      </c>
      <c r="L153" s="5" t="n"/>
      <c r="M153" s="11" t="n"/>
      <c r="N153" s="10">
        <f>IFERROR(G153*IF(K153&lt;&gt;"",K153,I153),"")</f>
        <v/>
      </c>
      <c r="O153" s="2" t="inlineStr">
        <is>
          <t>fund-lc-2026-10-27-WMT-close</t>
        </is>
      </c>
    </row>
    <row r="154">
      <c r="A154" s="2" t="inlineStr">
        <is>
          <t>2026-10-21</t>
        </is>
      </c>
      <c r="B154" s="2" t="inlineStr">
        <is>
          <t>2026-10-27</t>
        </is>
      </c>
      <c r="C154" s="2" t="inlineStr">
        <is>
          <t>XOM</t>
        </is>
      </c>
      <c r="D154" s="2" t="inlineStr">
        <is>
          <t>close</t>
        </is>
      </c>
      <c r="E154" s="2" t="inlineStr">
        <is>
          <t>sell</t>
        </is>
      </c>
      <c r="F154" s="10" t="n">
        <v>14</v>
      </c>
      <c r="G154" s="10" t="n">
        <v>14</v>
      </c>
      <c r="H154" s="2" t="inlineStr">
        <is>
          <t>market, last minute before the close (lifecycle)</t>
        </is>
      </c>
      <c r="I154" s="5" t="n">
        <v>180.37</v>
      </c>
      <c r="J154" s="2" t="inlineStr">
        <is>
          <t>filled</t>
        </is>
      </c>
      <c r="K154" s="5" t="n">
        <v>179.837143</v>
      </c>
      <c r="L154" s="5" t="n"/>
      <c r="M154" s="11" t="n"/>
      <c r="N154" s="10">
        <f>IFERROR(G154*IF(K154&lt;&gt;"",K154,I154),"")</f>
        <v/>
      </c>
      <c r="O154" s="2" t="inlineStr">
        <is>
          <t>fund-lc-2026-10-27-XOM-close</t>
        </is>
      </c>
    </row>
    <row r="155">
      <c r="A155" s="2" t="inlineStr">
        <is>
          <t>2026-10-28</t>
        </is>
      </c>
      <c r="B155" s="2" t="inlineStr">
        <is>
          <t>2026-10-29</t>
        </is>
      </c>
      <c r="C155" s="2" t="inlineStr">
        <is>
          <t>AVGO</t>
        </is>
      </c>
      <c r="D155" s="2" t="inlineStr">
        <is>
          <t>rebalance</t>
        </is>
      </c>
      <c r="E155" s="2" t="inlineStr">
        <is>
          <t>buy</t>
        </is>
      </c>
      <c r="F155" s="10" t="n">
        <v>8</v>
      </c>
      <c r="G155" s="10" t="n">
        <v>8</v>
      </c>
      <c r="H155" s="2" t="inlineStr">
        <is>
          <t>market, last minute before the close (lifecycle)</t>
        </is>
      </c>
      <c r="I155" s="5" t="n">
        <v>344.84</v>
      </c>
      <c r="J155" s="2" t="inlineStr">
        <is>
          <t>filled</t>
        </is>
      </c>
      <c r="K155" s="5" t="n">
        <v>344.98</v>
      </c>
      <c r="L155" s="5" t="n"/>
      <c r="M155" s="11" t="n"/>
      <c r="N155" s="10">
        <f>IFERROR(G155*IF(K155&lt;&gt;"",K155,I155),"")</f>
        <v/>
      </c>
      <c r="O155" s="2" t="inlineStr">
        <is>
          <t>fund-lc-2026-10-29-AVGO-rebalance</t>
        </is>
      </c>
    </row>
    <row r="156">
      <c r="A156" s="2" t="inlineStr">
        <is>
          <t>2026-10-28</t>
        </is>
      </c>
      <c r="B156" s="2" t="inlineStr">
        <is>
          <t>2026-10-29</t>
        </is>
      </c>
      <c r="C156" s="2" t="inlineStr">
        <is>
          <t>BA</t>
        </is>
      </c>
      <c r="D156" s="2" t="inlineStr">
        <is>
          <t>rebalance</t>
        </is>
      </c>
      <c r="E156" s="2" t="inlineStr">
        <is>
          <t>sell</t>
        </is>
      </c>
      <c r="F156" s="10" t="n">
        <v>16</v>
      </c>
      <c r="G156" s="10" t="n">
        <v>16</v>
      </c>
      <c r="H156" s="2" t="inlineStr">
        <is>
          <t>market, last minute before the close (lifecycle)</t>
        </is>
      </c>
      <c r="I156" s="5" t="n">
        <v>172.63</v>
      </c>
      <c r="J156" s="2" t="inlineStr">
        <is>
          <t>filled</t>
        </is>
      </c>
      <c r="K156" s="5" t="n">
        <v>172.82</v>
      </c>
      <c r="L156" s="5" t="n"/>
      <c r="M156" s="11" t="n"/>
      <c r="N156" s="10">
        <f>IFERROR(G156*IF(K156&lt;&gt;"",K156,I156),"")</f>
        <v/>
      </c>
      <c r="O156" s="2" t="inlineStr">
        <is>
          <t>fund-lc-2026-10-29-BA-rebalance</t>
        </is>
      </c>
    </row>
    <row r="157">
      <c r="A157" s="2" t="inlineStr">
        <is>
          <t>2026-10-28</t>
        </is>
      </c>
      <c r="B157" s="2" t="inlineStr">
        <is>
          <t>2026-10-29</t>
        </is>
      </c>
      <c r="C157" s="2" t="inlineStr">
        <is>
          <t>BIIB</t>
        </is>
      </c>
      <c r="D157" s="2" t="inlineStr">
        <is>
          <t>rebalance</t>
        </is>
      </c>
      <c r="E157" s="2" t="inlineStr">
        <is>
          <t>buy</t>
        </is>
      </c>
      <c r="F157" s="10" t="n">
        <v>21</v>
      </c>
      <c r="G157" s="10" t="n">
        <v>21</v>
      </c>
      <c r="H157" s="2" t="inlineStr">
        <is>
          <t>market, last minute before the close (lifecycle)</t>
        </is>
      </c>
      <c r="I157" s="5" t="n">
        <v>249.76</v>
      </c>
      <c r="J157" s="2" t="inlineStr">
        <is>
          <t>filled</t>
        </is>
      </c>
      <c r="K157" s="5" t="n">
        <v>249.94</v>
      </c>
      <c r="L157" s="5" t="n"/>
      <c r="M157" s="11" t="n"/>
      <c r="N157" s="10">
        <f>IFERROR(G157*IF(K157&lt;&gt;"",K157,I157),"")</f>
        <v/>
      </c>
      <c r="O157" s="2" t="inlineStr">
        <is>
          <t>fund-lc-2026-10-29-BIIB-rebalance</t>
        </is>
      </c>
    </row>
    <row r="158">
      <c r="A158" s="2" t="inlineStr">
        <is>
          <t>2026-10-28</t>
        </is>
      </c>
      <c r="B158" s="2" t="inlineStr">
        <is>
          <t>2026-10-29</t>
        </is>
      </c>
      <c r="C158" s="2" t="inlineStr">
        <is>
          <t>BRO</t>
        </is>
      </c>
      <c r="D158" s="2" t="inlineStr">
        <is>
          <t>rebalance</t>
        </is>
      </c>
      <c r="E158" s="2" t="inlineStr">
        <is>
          <t>sell</t>
        </is>
      </c>
      <c r="F158" s="10" t="n">
        <v>43</v>
      </c>
      <c r="G158" s="10" t="n">
        <v>43</v>
      </c>
      <c r="H158" s="2" t="inlineStr">
        <is>
          <t>market, last minute before the close (lifecycle)</t>
        </is>
      </c>
      <c r="I158" s="5" t="n">
        <v>67.86</v>
      </c>
      <c r="J158" s="2" t="inlineStr">
        <is>
          <t>filled</t>
        </is>
      </c>
      <c r="K158" s="5" t="n">
        <v>67.88</v>
      </c>
      <c r="L158" s="5" t="n"/>
      <c r="M158" s="11" t="n"/>
      <c r="N158" s="10">
        <f>IFERROR(G158*IF(K158&lt;&gt;"",K158,I158),"")</f>
        <v/>
      </c>
      <c r="O158" s="2" t="inlineStr">
        <is>
          <t>fund-lc-2026-10-29-BRO-rebalance</t>
        </is>
      </c>
    </row>
    <row r="159">
      <c r="A159" s="2" t="inlineStr">
        <is>
          <t>2026-10-28</t>
        </is>
      </c>
      <c r="B159" s="2" t="inlineStr">
        <is>
          <t>2026-10-29</t>
        </is>
      </c>
      <c r="C159" s="2" t="inlineStr">
        <is>
          <t>BSX</t>
        </is>
      </c>
      <c r="D159" s="2" t="inlineStr">
        <is>
          <t>rebalance</t>
        </is>
      </c>
      <c r="E159" s="2" t="inlineStr">
        <is>
          <t>sell</t>
        </is>
      </c>
      <c r="F159" s="10" t="n">
        <v>138</v>
      </c>
      <c r="G159" s="10" t="n">
        <v>138</v>
      </c>
      <c r="H159" s="2" t="inlineStr">
        <is>
          <t>market, last minute before the close (lifecycle)</t>
        </is>
      </c>
      <c r="I159" s="5" t="n">
        <v>42.755</v>
      </c>
      <c r="J159" s="2" t="inlineStr">
        <is>
          <t>filled</t>
        </is>
      </c>
      <c r="K159" s="5" t="n">
        <v>42.69</v>
      </c>
      <c r="L159" s="5" t="n"/>
      <c r="M159" s="11" t="n"/>
      <c r="N159" s="10">
        <f>IFERROR(G159*IF(K159&lt;&gt;"",K159,I159),"")</f>
        <v/>
      </c>
      <c r="O159" s="2" t="inlineStr">
        <is>
          <t>fund-lc-2026-10-29-BSX-rebalance</t>
        </is>
      </c>
    </row>
    <row r="160">
      <c r="A160" s="2" t="inlineStr">
        <is>
          <t>2026-10-28</t>
        </is>
      </c>
      <c r="B160" s="2" t="inlineStr">
        <is>
          <t>2026-10-29</t>
        </is>
      </c>
      <c r="C160" s="2" t="inlineStr">
        <is>
          <t>CDNS</t>
        </is>
      </c>
      <c r="D160" s="2" t="inlineStr">
        <is>
          <t>rebalance</t>
        </is>
      </c>
      <c r="E160" s="2" t="inlineStr">
        <is>
          <t>buy</t>
        </is>
      </c>
      <c r="F160" s="10" t="n">
        <v>8</v>
      </c>
      <c r="G160" s="10" t="n">
        <v>8</v>
      </c>
      <c r="H160" s="2" t="inlineStr">
        <is>
          <t>market, last minute before the close (lifecycle)</t>
        </is>
      </c>
      <c r="I160" s="5" t="n">
        <v>342.245</v>
      </c>
      <c r="J160" s="2" t="inlineStr">
        <is>
          <t>filled</t>
        </is>
      </c>
      <c r="K160" s="5" t="n">
        <v>342.300001</v>
      </c>
      <c r="L160" s="5" t="n"/>
      <c r="M160" s="11" t="n"/>
      <c r="N160" s="10">
        <f>IFERROR(G160*IF(K160&lt;&gt;"",K160,I160),"")</f>
        <v/>
      </c>
      <c r="O160" s="2" t="inlineStr">
        <is>
          <t>fund-lc-2026-10-29-CDNS-rebalance</t>
        </is>
      </c>
    </row>
    <row r="161">
      <c r="A161" s="2" t="inlineStr">
        <is>
          <t>2026-10-28</t>
        </is>
      </c>
      <c r="B161" s="2" t="inlineStr">
        <is>
          <t>2026-10-29</t>
        </is>
      </c>
      <c r="C161" s="2" t="inlineStr">
        <is>
          <t>CMG</t>
        </is>
      </c>
      <c r="D161" s="2" t="inlineStr">
        <is>
          <t>close</t>
        </is>
      </c>
      <c r="E161" s="2" t="inlineStr">
        <is>
          <t>buy</t>
        </is>
      </c>
      <c r="F161" s="10" t="n">
        <v>86</v>
      </c>
      <c r="G161" s="10" t="n">
        <v>86</v>
      </c>
      <c r="H161" s="2" t="inlineStr">
        <is>
          <t>market, last minute before the close (lifecycle)</t>
        </is>
      </c>
      <c r="I161" s="5" t="n">
        <v>31.26</v>
      </c>
      <c r="J161" s="2" t="inlineStr">
        <is>
          <t>filled</t>
        </is>
      </c>
      <c r="K161" s="5" t="n">
        <v>31.34</v>
      </c>
      <c r="L161" s="5" t="n"/>
      <c r="M161" s="11" t="n"/>
      <c r="N161" s="10">
        <f>IFERROR(G161*IF(K161&lt;&gt;"",K161,I161),"")</f>
        <v/>
      </c>
      <c r="O161" s="2" t="inlineStr">
        <is>
          <t>fund-lc-2026-10-29-CMG-close</t>
        </is>
      </c>
    </row>
    <row r="162">
      <c r="A162" s="2" t="inlineStr">
        <is>
          <t>2026-10-28</t>
        </is>
      </c>
      <c r="B162" s="2" t="inlineStr">
        <is>
          <t>2026-10-29</t>
        </is>
      </c>
      <c r="C162" s="2" t="inlineStr">
        <is>
          <t>CRL</t>
        </is>
      </c>
      <c r="D162" s="2" t="inlineStr">
        <is>
          <t>rebalance</t>
        </is>
      </c>
      <c r="E162" s="2" t="inlineStr">
        <is>
          <t>sell</t>
        </is>
      </c>
      <c r="F162" s="10" t="n">
        <v>7</v>
      </c>
      <c r="G162" s="10" t="n">
        <v>7</v>
      </c>
      <c r="H162" s="2" t="inlineStr">
        <is>
          <t>market, last minute before the close (lifecycle)</t>
        </is>
      </c>
      <c r="I162" s="5" t="n">
        <v>376.175</v>
      </c>
      <c r="J162" s="2" t="inlineStr">
        <is>
          <t>filled</t>
        </is>
      </c>
      <c r="K162" s="5" t="n">
        <v>375.748571</v>
      </c>
      <c r="L162" s="5" t="n"/>
      <c r="M162" s="11" t="n"/>
      <c r="N162" s="10">
        <f>IFERROR(G162*IF(K162&lt;&gt;"",K162,I162),"")</f>
        <v/>
      </c>
      <c r="O162" s="2" t="inlineStr">
        <is>
          <t>fund-lc-2026-10-29-CRL-rebalance</t>
        </is>
      </c>
    </row>
    <row r="163">
      <c r="A163" s="2" t="inlineStr">
        <is>
          <t>2026-10-28</t>
        </is>
      </c>
      <c r="B163" s="2" t="inlineStr">
        <is>
          <t>2026-10-29</t>
        </is>
      </c>
      <c r="C163" s="2" t="inlineStr">
        <is>
          <t>EQIX</t>
        </is>
      </c>
      <c r="D163" s="2" t="inlineStr">
        <is>
          <t>rebalance</t>
        </is>
      </c>
      <c r="E163" s="2" t="inlineStr">
        <is>
          <t>buy</t>
        </is>
      </c>
      <c r="F163" s="10" t="n">
        <v>6</v>
      </c>
      <c r="G163" s="10" t="n">
        <v>6</v>
      </c>
      <c r="H163" s="2" t="inlineStr">
        <is>
          <t>market, last minute before the close (lifecycle)</t>
        </is>
      </c>
      <c r="I163" s="5" t="n">
        <v>1035.16</v>
      </c>
      <c r="J163" s="2" t="inlineStr">
        <is>
          <t>filled</t>
        </is>
      </c>
      <c r="K163" s="5" t="n">
        <v>1036.32</v>
      </c>
      <c r="L163" s="5" t="n"/>
      <c r="M163" s="11" t="n"/>
      <c r="N163" s="10">
        <f>IFERROR(G163*IF(K163&lt;&gt;"",K163,I163),"")</f>
        <v/>
      </c>
      <c r="O163" s="2" t="inlineStr">
        <is>
          <t>fund-lc-2026-10-29-EQIX-rebalance</t>
        </is>
      </c>
    </row>
    <row r="164">
      <c r="A164" s="2" t="inlineStr">
        <is>
          <t>2026-10-28</t>
        </is>
      </c>
      <c r="B164" s="2" t="inlineStr">
        <is>
          <t>2026-10-29</t>
        </is>
      </c>
      <c r="C164" s="2" t="inlineStr">
        <is>
          <t>GOOGL</t>
        </is>
      </c>
      <c r="D164" s="2" t="inlineStr">
        <is>
          <t>rebalance</t>
        </is>
      </c>
      <c r="E164" s="2" t="inlineStr">
        <is>
          <t>sell</t>
        </is>
      </c>
      <c r="F164" s="10" t="n">
        <v>21</v>
      </c>
      <c r="G164" s="10" t="n">
        <v>21</v>
      </c>
      <c r="H164" s="2" t="inlineStr">
        <is>
          <t>market, last minute before the close (lifecycle)</t>
        </is>
      </c>
      <c r="I164" s="5" t="n">
        <v>283.465</v>
      </c>
      <c r="J164" s="2" t="inlineStr">
        <is>
          <t>filled</t>
        </is>
      </c>
      <c r="K164" s="5" t="n">
        <v>283.455714</v>
      </c>
      <c r="L164" s="5" t="n"/>
      <c r="M164" s="11" t="n"/>
      <c r="N164" s="10">
        <f>IFERROR(G164*IF(K164&lt;&gt;"",K164,I164),"")</f>
        <v/>
      </c>
      <c r="O164" s="2" t="inlineStr">
        <is>
          <t>fund-lc-2026-10-29-GOOGL-rebalance</t>
        </is>
      </c>
    </row>
    <row r="165">
      <c r="A165" s="2" t="inlineStr">
        <is>
          <t>2026-10-28</t>
        </is>
      </c>
      <c r="B165" s="2" t="inlineStr">
        <is>
          <t>2026-10-29</t>
        </is>
      </c>
      <c r="C165" s="2" t="inlineStr">
        <is>
          <t>LH</t>
        </is>
      </c>
      <c r="D165" s="2" t="inlineStr">
        <is>
          <t>rebalance</t>
        </is>
      </c>
      <c r="E165" s="2" t="inlineStr">
        <is>
          <t>buy</t>
        </is>
      </c>
      <c r="F165" s="10" t="n">
        <v>6</v>
      </c>
      <c r="G165" s="10" t="n">
        <v>6</v>
      </c>
      <c r="H165" s="2" t="inlineStr">
        <is>
          <t>market, last minute before the close (lifecycle)</t>
        </is>
      </c>
      <c r="I165" s="5" t="n">
        <v>368.03</v>
      </c>
      <c r="J165" s="2" t="inlineStr">
        <is>
          <t>filled</t>
        </is>
      </c>
      <c r="K165" s="5" t="n">
        <v>367.3500000000001</v>
      </c>
      <c r="L165" s="5" t="n"/>
      <c r="M165" s="11" t="n"/>
      <c r="N165" s="10">
        <f>IFERROR(G165*IF(K165&lt;&gt;"",K165,I165),"")</f>
        <v/>
      </c>
      <c r="O165" s="2" t="inlineStr">
        <is>
          <t>fund-lc-2026-10-29-LH-rebalance</t>
        </is>
      </c>
    </row>
    <row r="166">
      <c r="A166" s="2" t="inlineStr">
        <is>
          <t>2026-10-28</t>
        </is>
      </c>
      <c r="B166" s="2" t="inlineStr">
        <is>
          <t>2026-10-29</t>
        </is>
      </c>
      <c r="C166" s="2" t="inlineStr">
        <is>
          <t>LRCX</t>
        </is>
      </c>
      <c r="D166" s="2" t="inlineStr">
        <is>
          <t>close</t>
        </is>
      </c>
      <c r="E166" s="2" t="inlineStr">
        <is>
          <t>buy</t>
        </is>
      </c>
      <c r="F166" s="10" t="n">
        <v>7</v>
      </c>
      <c r="G166" s="10" t="n">
        <v>7</v>
      </c>
      <c r="H166" s="2" t="inlineStr">
        <is>
          <t>market, last minute before the close (lifecycle)</t>
        </is>
      </c>
      <c r="I166" s="5" t="n">
        <v>254.03</v>
      </c>
      <c r="J166" s="2" t="inlineStr">
        <is>
          <t>filled</t>
        </is>
      </c>
      <c r="K166" s="5" t="n">
        <v>254.17</v>
      </c>
      <c r="L166" s="5" t="n"/>
      <c r="M166" s="11" t="n"/>
      <c r="N166" s="10">
        <f>IFERROR(G166*IF(K166&lt;&gt;"",K166,I166),"")</f>
        <v/>
      </c>
      <c r="O166" s="2" t="inlineStr">
        <is>
          <t>fund-lc-2026-10-29-LRCX-close</t>
        </is>
      </c>
    </row>
    <row r="167">
      <c r="A167" s="2" t="inlineStr">
        <is>
          <t>2026-10-28</t>
        </is>
      </c>
      <c r="B167" s="2" t="inlineStr">
        <is>
          <t>2026-10-29</t>
        </is>
      </c>
      <c r="C167" s="2" t="inlineStr">
        <is>
          <t>MRNA</t>
        </is>
      </c>
      <c r="D167" s="2" t="inlineStr">
        <is>
          <t>rebalance</t>
        </is>
      </c>
      <c r="E167" s="2" t="inlineStr">
        <is>
          <t>sell</t>
        </is>
      </c>
      <c r="F167" s="10" t="n">
        <v>12</v>
      </c>
      <c r="G167" s="10" t="n">
        <v>12</v>
      </c>
      <c r="H167" s="2" t="inlineStr">
        <is>
          <t>market, last minute before the close (lifecycle)</t>
        </is>
      </c>
      <c r="I167" s="5" t="n">
        <v>222.57</v>
      </c>
      <c r="J167" s="2" t="inlineStr">
        <is>
          <t>filled</t>
        </is>
      </c>
      <c r="K167" s="5" t="n">
        <v>222.609167</v>
      </c>
      <c r="L167" s="5" t="n"/>
      <c r="M167" s="11" t="n"/>
      <c r="N167" s="10">
        <f>IFERROR(G167*IF(K167&lt;&gt;"",K167,I167),"")</f>
        <v/>
      </c>
      <c r="O167" s="2" t="inlineStr">
        <is>
          <t>fund-lc-2026-10-29-MRNA-rebalance</t>
        </is>
      </c>
    </row>
    <row r="168">
      <c r="A168" s="2" t="inlineStr">
        <is>
          <t>2026-10-28</t>
        </is>
      </c>
      <c r="B168" s="2" t="inlineStr">
        <is>
          <t>2026-10-29</t>
        </is>
      </c>
      <c r="C168" s="2" t="inlineStr">
        <is>
          <t>MSFT</t>
        </is>
      </c>
      <c r="D168" s="2" t="inlineStr">
        <is>
          <t>flatten</t>
        </is>
      </c>
      <c r="E168" s="2" t="inlineStr">
        <is>
          <t>buy</t>
        </is>
      </c>
      <c r="F168" s="10" t="n">
        <v>5</v>
      </c>
      <c r="G168" s="10" t="n">
        <v>5</v>
      </c>
      <c r="H168" s="2" t="inlineStr">
        <is>
          <t>market, last minute before the close (lifecycle)</t>
        </is>
      </c>
      <c r="I168" s="5" t="n">
        <v>530.615</v>
      </c>
      <c r="J168" s="2" t="inlineStr">
        <is>
          <t>filled</t>
        </is>
      </c>
      <c r="K168" s="5" t="n">
        <v>530.426</v>
      </c>
      <c r="L168" s="5" t="n"/>
      <c r="M168" s="11" t="n"/>
      <c r="N168" s="10">
        <f>IFERROR(G168*IF(K168&lt;&gt;"",K168,I168),"")</f>
        <v/>
      </c>
      <c r="O168" s="2" t="inlineStr">
        <is>
          <t>fund-lc-2026-10-29-MSFT-flatten</t>
        </is>
      </c>
    </row>
    <row r="169">
      <c r="A169" s="2" t="inlineStr">
        <is>
          <t>2026-10-28</t>
        </is>
      </c>
      <c r="B169" s="2" t="inlineStr">
        <is>
          <t>2026-10-29</t>
        </is>
      </c>
      <c r="C169" s="2" t="inlineStr">
        <is>
          <t>MSFT</t>
        </is>
      </c>
      <c r="D169" s="2" t="inlineStr">
        <is>
          <t>open</t>
        </is>
      </c>
      <c r="E169" s="2" t="inlineStr">
        <is>
          <t>buy</t>
        </is>
      </c>
      <c r="F169" s="10" t="n">
        <v>10</v>
      </c>
      <c r="G169" s="10" t="n">
        <v>10</v>
      </c>
      <c r="H169" s="2" t="inlineStr">
        <is>
          <t>market, last minute before the close (lifecycle)</t>
        </is>
      </c>
      <c r="I169" s="5" t="n">
        <v>530.615</v>
      </c>
      <c r="J169" s="2" t="inlineStr">
        <is>
          <t>filled</t>
        </is>
      </c>
      <c r="K169" s="5" t="n">
        <v>530.2380000000001</v>
      </c>
      <c r="L169" s="5" t="n"/>
      <c r="M169" s="11" t="n"/>
      <c r="N169" s="10">
        <f>IFERROR(G169*IF(K169&lt;&gt;"",K169,I169),"")</f>
        <v/>
      </c>
      <c r="O169" s="2" t="inlineStr">
        <is>
          <t>fund-lc-2026-10-29-MSFT-open</t>
        </is>
      </c>
    </row>
    <row r="170">
      <c r="A170" s="2" t="inlineStr">
        <is>
          <t>2026-10-28</t>
        </is>
      </c>
      <c r="B170" s="2" t="inlineStr">
        <is>
          <t>2026-10-29</t>
        </is>
      </c>
      <c r="C170" s="2" t="inlineStr">
        <is>
          <t>SPY</t>
        </is>
      </c>
      <c r="D170" s="2" t="inlineStr">
        <is>
          <t>rebalance</t>
        </is>
      </c>
      <c r="E170" s="2" t="inlineStr">
        <is>
          <t>sell</t>
        </is>
      </c>
      <c r="F170" s="10" t="n">
        <v>7</v>
      </c>
      <c r="G170" s="10" t="n">
        <v>7</v>
      </c>
      <c r="H170" s="2" t="inlineStr">
        <is>
          <t>market, last minute before the close (lifecycle)</t>
        </is>
      </c>
      <c r="I170" s="5" t="n">
        <v>769.3</v>
      </c>
      <c r="J170" s="2" t="inlineStr">
        <is>
          <t>filled</t>
        </is>
      </c>
      <c r="K170" s="5" t="n">
        <v>769.26</v>
      </c>
      <c r="L170" s="5" t="n"/>
      <c r="M170" s="11" t="n"/>
      <c r="N170" s="10">
        <f>IFERROR(G170*IF(K170&lt;&gt;"",K170,I170),"")</f>
        <v/>
      </c>
      <c r="O170" s="2" t="inlineStr">
        <is>
          <t>fund-lc-2026-10-29-SPY-rebalance</t>
        </is>
      </c>
    </row>
    <row r="171">
      <c r="A171" s="2" t="inlineStr">
        <is>
          <t>2026-10-28</t>
        </is>
      </c>
      <c r="B171" s="2" t="inlineStr">
        <is>
          <t>2026-10-29</t>
        </is>
      </c>
      <c r="C171" s="2" t="inlineStr">
        <is>
          <t>VLO</t>
        </is>
      </c>
      <c r="D171" s="2" t="inlineStr">
        <is>
          <t>rebalance</t>
        </is>
      </c>
      <c r="E171" s="2" t="inlineStr">
        <is>
          <t>sell</t>
        </is>
      </c>
      <c r="F171" s="10" t="n">
        <v>7</v>
      </c>
      <c r="G171" s="10" t="n">
        <v>7</v>
      </c>
      <c r="H171" s="2" t="inlineStr">
        <is>
          <t>market, last minute before the close (lifecycle)</t>
        </is>
      </c>
      <c r="I171" s="5" t="n">
        <v>383.68</v>
      </c>
      <c r="J171" s="2" t="inlineStr">
        <is>
          <t>filled</t>
        </is>
      </c>
      <c r="K171" s="5" t="n">
        <v>384.434286</v>
      </c>
      <c r="L171" s="5" t="n"/>
      <c r="M171" s="11" t="n"/>
      <c r="N171" s="10">
        <f>IFERROR(G171*IF(K171&lt;&gt;"",K171,I171),"")</f>
        <v/>
      </c>
      <c r="O171" s="2" t="inlineStr">
        <is>
          <t>fund-lc-2026-10-29-VLO-rebalance</t>
        </is>
      </c>
    </row>
  </sheetData>
  <autoFilter ref="A1:O17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64016.01106717681</v>
      </c>
      <c r="D12" s="7">
        <f>IF(C11&gt;0,(B12-B11)/C11,"")</f>
        <v/>
      </c>
      <c r="E12" s="3">
        <f>B12-$B$2</f>
        <v/>
      </c>
      <c r="F12" s="7">
        <f>IF(C12&gt;0,E12/C12,"")</f>
        <v/>
      </c>
    </row>
    <row r="13">
      <c r="A13" s="2" t="inlineStr">
        <is>
          <t>2026-10-16</t>
        </is>
      </c>
      <c r="B13" s="12" t="n">
        <v>98144.96000000001</v>
      </c>
      <c r="C13" s="12" t="n">
        <v>64016.01106717681</v>
      </c>
      <c r="D13" s="7">
        <f>IF(C12&gt;0,(B13-B12)/C12,"")</f>
        <v/>
      </c>
      <c r="E13" s="3">
        <f>B13-$B$2</f>
        <v/>
      </c>
      <c r="F13" s="7">
        <f>IF(C13&gt;0,E13/C13,"")</f>
        <v/>
      </c>
    </row>
    <row r="14">
      <c r="A14" s="2" t="inlineStr">
        <is>
          <t>2026-10-17</t>
        </is>
      </c>
      <c r="B14" s="12" t="n">
        <v>97920.66</v>
      </c>
      <c r="C14" s="12" t="n">
        <v>64016.01106717681</v>
      </c>
      <c r="D14" s="7">
        <f>IF(C13&gt;0,(B14-B13)/C13,"")</f>
        <v/>
      </c>
      <c r="E14" s="3">
        <f>B14-$B$2</f>
        <v/>
      </c>
      <c r="F14" s="7">
        <f>IF(C14&gt;0,E14/C14,"")</f>
        <v/>
      </c>
    </row>
    <row r="15">
      <c r="A15" s="2" t="inlineStr">
        <is>
          <t>2026-10-20</t>
        </is>
      </c>
      <c r="B15" s="12" t="n">
        <v>98431.86</v>
      </c>
      <c r="C15" s="12" t="n">
        <v>59057.33577017681</v>
      </c>
      <c r="D15" s="7">
        <f>IF(C14&gt;0,(B15-B14)/C14,"")</f>
        <v/>
      </c>
      <c r="E15" s="3">
        <f>B15-$B$2</f>
        <v/>
      </c>
      <c r="F15" s="7">
        <f>IF(C15&gt;0,E15/C15,"")</f>
        <v/>
      </c>
    </row>
    <row r="16">
      <c r="A16" s="2" t="inlineStr">
        <is>
          <t>2026-10-21</t>
        </is>
      </c>
      <c r="B16" s="12" t="n">
        <v>98068.58</v>
      </c>
      <c r="C16" s="12" t="n">
        <v>77436.08579808404</v>
      </c>
      <c r="D16" s="7">
        <f>IF(C15&gt;0,(B16-B15)/C15,"")</f>
        <v/>
      </c>
      <c r="E16" s="3">
        <f>B16-$B$2</f>
        <v/>
      </c>
      <c r="F16" s="7">
        <f>IF(C16&gt;0,E16/C16,"")</f>
        <v/>
      </c>
    </row>
    <row r="17">
      <c r="A17" s="2" t="inlineStr">
        <is>
          <t>2026-10-22</t>
        </is>
      </c>
      <c r="B17" s="12" t="n">
        <v>98528.21000000001</v>
      </c>
      <c r="C17" s="12" t="n">
        <v>127267.7305285653</v>
      </c>
      <c r="D17" s="7">
        <f>IF(C16&gt;0,(B17-B16)/C16,"")</f>
        <v/>
      </c>
      <c r="E17" s="3">
        <f>B17-$B$2</f>
        <v/>
      </c>
      <c r="F17" s="7">
        <f>IF(C17&gt;0,E17/C17,"")</f>
        <v/>
      </c>
    </row>
    <row r="18">
      <c r="A18" s="2" t="inlineStr">
        <is>
          <t>2026-10-23</t>
        </is>
      </c>
      <c r="B18" s="12" t="n">
        <v>97134.66</v>
      </c>
      <c r="C18" s="12" t="n">
        <v>120192.1905265653</v>
      </c>
      <c r="D18" s="7">
        <f>IF(C17&gt;0,(B18-B17)/C17,"")</f>
        <v/>
      </c>
      <c r="E18" s="3">
        <f>B18-$B$2</f>
        <v/>
      </c>
      <c r="F18" s="7">
        <f>IF(C18&gt;0,E18/C18,"")</f>
        <v/>
      </c>
    </row>
    <row r="19">
      <c r="A19" s="2" t="inlineStr">
        <is>
          <t>2026-10-24</t>
        </is>
      </c>
      <c r="B19" s="12" t="n">
        <v>97550.24000000001</v>
      </c>
      <c r="C19" s="12" t="n">
        <v>120192.1905265653</v>
      </c>
      <c r="D19" s="7">
        <f>IF(C18&gt;0,(B19-B18)/C18,"")</f>
        <v/>
      </c>
      <c r="E19" s="3">
        <f>B19-$B$2</f>
        <v/>
      </c>
      <c r="F19" s="7">
        <f>IF(C19&gt;0,E19/C19,"")</f>
        <v/>
      </c>
    </row>
    <row r="20">
      <c r="A20" s="2" t="inlineStr">
        <is>
          <t>2026-10-27</t>
        </is>
      </c>
      <c r="B20" s="12" t="n">
        <v>97728.81</v>
      </c>
      <c r="C20" s="12" t="n">
        <v>84938.13052234457</v>
      </c>
      <c r="D20" s="7">
        <f>IF(C19&gt;0,(B20-B19)/C19,"")</f>
        <v/>
      </c>
      <c r="E20" s="3">
        <f>B20-$B$2</f>
        <v/>
      </c>
      <c r="F20" s="7">
        <f>IF(C20&gt;0,E20/C20,"")</f>
        <v/>
      </c>
    </row>
    <row r="21">
      <c r="A21" s="2" t="inlineStr">
        <is>
          <t>2026-10-28</t>
        </is>
      </c>
      <c r="B21" s="12" t="n">
        <v>99040.77</v>
      </c>
      <c r="C21" s="12" t="n">
        <v>84938.13052234457</v>
      </c>
      <c r="D21" s="7">
        <f>IF(C20&gt;0,(B21-B20)/C20,"")</f>
        <v/>
      </c>
      <c r="E21" s="3">
        <f>B21-$B$2</f>
        <v/>
      </c>
      <c r="F21" s="7">
        <f>IF(C21&gt;0,E21/C21,"")</f>
        <v/>
      </c>
    </row>
    <row r="22">
      <c r="A22" s="2" t="inlineStr">
        <is>
          <t>2026-10-29</t>
        </is>
      </c>
      <c r="B22" s="12" t="n">
        <v>99075.08</v>
      </c>
      <c r="C22" s="12" t="n">
        <v>128301.0705273445</v>
      </c>
      <c r="D22" s="7">
        <f>IF(C21&gt;0,(B22-B21)/C21,"")</f>
        <v/>
      </c>
      <c r="E22" s="3">
        <f>B22-$B$2</f>
        <v/>
      </c>
      <c r="F22" s="7">
        <f>IF(C22&gt;0,E22/C22,"")</f>
        <v/>
      </c>
    </row>
  </sheetData>
  <autoFilter ref="A1:F2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row r="20">
      <c r="A20" s="2" t="inlineStr">
        <is>
          <t>2026-10-20</t>
        </is>
      </c>
      <c r="B20" s="2" t="inlineStr">
        <is>
          <t>FEE</t>
        </is>
      </c>
      <c r="C20" s="2" t="n"/>
      <c r="D20" s="10" t="n"/>
      <c r="E20" s="13" t="n"/>
      <c r="F20" s="3" t="n">
        <v>-0.06</v>
      </c>
    </row>
    <row r="21">
      <c r="A21" s="2" t="inlineStr">
        <is>
          <t>2026-10-20</t>
        </is>
      </c>
      <c r="B21" s="2" t="inlineStr">
        <is>
          <t>FEE</t>
        </is>
      </c>
      <c r="C21" s="2" t="n"/>
      <c r="D21" s="10" t="n"/>
      <c r="E21" s="13" t="n"/>
      <c r="F21" s="3" t="n">
        <v>-0.01</v>
      </c>
    </row>
    <row r="22">
      <c r="A22" s="2" t="inlineStr">
        <is>
          <t>2026-10-21</t>
        </is>
      </c>
      <c r="B22" s="2" t="inlineStr">
        <is>
          <t>FEE</t>
        </is>
      </c>
      <c r="C22" s="2" t="n"/>
      <c r="D22" s="10" t="n"/>
      <c r="E22" s="13" t="n"/>
      <c r="F22" s="3" t="n">
        <v>-0.44</v>
      </c>
    </row>
    <row r="23">
      <c r="A23" s="2" t="inlineStr">
        <is>
          <t>2026-10-21</t>
        </is>
      </c>
      <c r="B23" s="2" t="inlineStr">
        <is>
          <t>FEE</t>
        </is>
      </c>
      <c r="C23" s="2" t="n"/>
      <c r="D23" s="10" t="n"/>
      <c r="E23" s="13" t="n"/>
      <c r="F23" s="3" t="n">
        <v>-0.01</v>
      </c>
    </row>
    <row r="24">
      <c r="A24" s="2" t="inlineStr">
        <is>
          <t>2026-10-22</t>
        </is>
      </c>
      <c r="B24" s="2" t="inlineStr">
        <is>
          <t>FEE</t>
        </is>
      </c>
      <c r="C24" s="2" t="n"/>
      <c r="D24" s="10" t="n"/>
      <c r="E24" s="13" t="n"/>
      <c r="F24" s="3" t="n">
        <v>-0.01</v>
      </c>
    </row>
    <row r="25">
      <c r="A25" s="2" t="inlineStr">
        <is>
          <t>2026-10-22</t>
        </is>
      </c>
      <c r="B25" s="2" t="inlineStr">
        <is>
          <t>FEE</t>
        </is>
      </c>
      <c r="C25" s="2" t="n"/>
      <c r="D25" s="10" t="n"/>
      <c r="E25" s="13" t="n"/>
      <c r="F25" s="3" t="n">
        <v>-0.97</v>
      </c>
    </row>
    <row r="26">
      <c r="A26" s="2" t="inlineStr">
        <is>
          <t>2026-10-23</t>
        </is>
      </c>
      <c r="B26" s="2" t="inlineStr">
        <is>
          <t>FEE</t>
        </is>
      </c>
      <c r="C26" s="2" t="n"/>
      <c r="D26" s="10" t="n"/>
      <c r="E26" s="13" t="n"/>
      <c r="F26" s="3" t="n">
        <v>-0.01</v>
      </c>
    </row>
    <row r="27">
      <c r="A27" s="2" t="inlineStr">
        <is>
          <t>2026-10-23</t>
        </is>
      </c>
      <c r="B27" s="2" t="inlineStr">
        <is>
          <t>FEE</t>
        </is>
      </c>
      <c r="C27" s="2" t="n"/>
      <c r="D27" s="10" t="n"/>
      <c r="E27" s="13" t="n"/>
      <c r="F27" s="3" t="n">
        <v>-0.36</v>
      </c>
    </row>
    <row r="28">
      <c r="A28" s="2" t="inlineStr">
        <is>
          <t>2026-10-26</t>
        </is>
      </c>
      <c r="B28" s="2" t="inlineStr">
        <is>
          <t>FEE</t>
        </is>
      </c>
      <c r="C28" s="2" t="n"/>
      <c r="D28" s="10" t="n"/>
      <c r="E28" s="13" t="n"/>
      <c r="F28" s="3" t="n">
        <v>-0.1</v>
      </c>
    </row>
    <row r="29">
      <c r="A29" s="2" t="inlineStr">
        <is>
          <t>2026-10-26</t>
        </is>
      </c>
      <c r="B29" s="2" t="inlineStr">
        <is>
          <t>FEE</t>
        </is>
      </c>
      <c r="C29" s="2" t="n"/>
      <c r="D29" s="10" t="n"/>
      <c r="E29" s="13" t="n"/>
      <c r="F29" s="3" t="n">
        <v>-0.01</v>
      </c>
    </row>
    <row r="30">
      <c r="A30" s="2" t="inlineStr">
        <is>
          <t>2026-10-27</t>
        </is>
      </c>
      <c r="B30" s="2" t="inlineStr">
        <is>
          <t>FEE</t>
        </is>
      </c>
      <c r="C30" s="2" t="n"/>
      <c r="D30" s="10" t="n"/>
      <c r="E30" s="13" t="n"/>
      <c r="F30" s="3" t="n">
        <v>-0.39</v>
      </c>
    </row>
    <row r="31">
      <c r="A31" s="2" t="inlineStr">
        <is>
          <t>2026-10-27</t>
        </is>
      </c>
      <c r="B31" s="2" t="inlineStr">
        <is>
          <t>FEE</t>
        </is>
      </c>
      <c r="C31" s="2" t="n"/>
      <c r="D31" s="10" t="n"/>
      <c r="E31" s="13" t="n"/>
      <c r="F31" s="3" t="n">
        <v>-0.01</v>
      </c>
    </row>
  </sheetData>
  <autoFilter ref="A1:F31"/>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2026-10-30T15:16:10Z</dcterms:created>
  <dcterms:modified xmlns:dcterms="http://purl.org/dc/terms/" xmlns:xsi="http://www.w3.org/2001/XMLSchema-instance" xsi:type="dcterms:W3CDTF">2026-10-30T15:16:19Z</dcterms:modified>
</cp:coreProperties>
</file>