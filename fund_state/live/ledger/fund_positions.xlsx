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'Orders'!$A$1:$O$90</definedName>
    <definedName name="_xlnm._FilterDatabase" localSheetId="5" hidden="1">'Account'!$A$1:$F$13</definedName>
    <definedName name="_xlnm._FilterDatabase" localSheetId="6" hidden="1">'Cash activity'!$A$1:$F$16</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21:11 ET)</t>
        </is>
      </c>
      <c r="B2" s="3" t="n">
        <v>97811.94249999999</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-2170.5275</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527.0859</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51.2</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239.5569</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75.29000000000001</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54.41</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339.4</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23.6715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226.9</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526.8316</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70.33</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37.14</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213.7494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71.5</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127.7999</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31.5497</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168.39</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352.46</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310.36</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771.7899780273438</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926.4400024414062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931.239990234375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931.239990234375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72.61000061035156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525.6799926757812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99.08999633789062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129.5800018310547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771.7899780273438</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771.7899780273438</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771.7899780273438</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771.7899780273438</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562.22998046875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562.22998046875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344.3299865722656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344.3299865722656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344.3299865722656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188.7299957275391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349.2200012207031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58.63000106811523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869.5399780273438</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1251.609985351562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241.2400054931641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217.2299957275391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217.2299957275391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525.6799926757812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99.08999633789062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736.719970703125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37.13999938964844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128.3800048828125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128.3800048828125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1394.829956054688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1394.829956054688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690.8099975585938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356.4500122070312</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344.3299865722656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188.7299957275391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525.6799926757812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349.2200012207031</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869.5399780273438</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1251.609985351562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99.08999633789062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736.719970703125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128.3800048828125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1394.829956054688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771.7899780273438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690.8099975585938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356.4500122070312</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562.22998046875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58.63000106811523</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241.2400054931641</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37.13999938964844</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217.2299957275391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51.70000076293945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246.7400054931641</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78.08000183105469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335.5299987792969</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23.28000068664551</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539.4400024414062</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72.61000061035156</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73.69999694824219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134.4700012207031</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35.09000015258789</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167.6000061035156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362.4400024414062</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313.0299987792969</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sheetData>
  <autoFilter ref="A1:O9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54738.38526770313</v>
      </c>
      <c r="D12" s="7">
        <f>IF(C11&gt;0,(B12-B11)/C11,"")</f>
        <v/>
      </c>
      <c r="E12" s="3">
        <f>B12-$B$2</f>
        <v/>
      </c>
      <c r="F12" s="7">
        <f>IF(C12&gt;0,E12/C12,"")</f>
        <v/>
      </c>
    </row>
    <row r="13">
      <c r="A13" s="2" t="inlineStr">
        <is>
          <t>2026-10-16</t>
        </is>
      </c>
      <c r="B13" s="12" t="n">
        <v>98144.96000000001</v>
      </c>
      <c r="C13" s="12" t="n">
        <v>54738.38526770313</v>
      </c>
      <c r="D13" s="7">
        <f>IF(C12&gt;0,(B13-B12)/C12,"")</f>
        <v/>
      </c>
      <c r="E13" s="3">
        <f>B13-$B$2</f>
        <v/>
      </c>
      <c r="F13" s="7">
        <f>IF(C13&gt;0,E13/C13,"")</f>
        <v/>
      </c>
    </row>
  </sheetData>
  <autoFilter ref="A1:F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sheetData>
  <autoFilter ref="A1:F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2026-10-17T01:11:46Z</dcterms:created>
  <dcterms:modified xmlns:dcterms="http://purl.org/dc/terms/" xmlns:xsi="http://www.w3.org/2001/XMLSchema-instance" xsi:type="dcterms:W3CDTF">2026-10-17T01:11:51Z</dcterms:modified>
</cp:coreProperties>
</file>