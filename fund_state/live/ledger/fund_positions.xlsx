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'Account'!$A$1:$F$9</definedName>
    <definedName name="_xlnm._FilterDatabase" localSheetId="3"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778.0999755859375</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1004.72998046875</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989.0399780273438</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989.0399780273438</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70.61000061035156</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517.5999755859375</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94.66000366210938</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126.4000015258789</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3" t="n">
        <v>-29</v>
      </c>
      <c r="J10" s="4" t="n">
        <v>773.95</v>
      </c>
      <c r="K10" s="4" t="n">
        <v>778.28</v>
      </c>
      <c r="L10" s="4" t="n">
        <v>778.0999755859375</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778.0999755859375</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594.239990234375</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3" t="n">
        <v>7</v>
      </c>
      <c r="J13" s="4" t="n">
        <v>360.361429</v>
      </c>
      <c r="K13" s="4" t="n">
        <v>361.53</v>
      </c>
      <c r="L13" s="4" t="n">
        <v>354.7300109863281</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354.7300109863281</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189.5</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298.0700073242188</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352.7200012207031</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73.45999908447266</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1103.35498046875</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1182.619995117188</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265.8599853515625</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226.3200073242188</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517.5999755859375</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94.66000366210938</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235.6499938964844</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718.6699829101562</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35.34999847412109</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3" t="n">
        <v>-16</v>
      </c>
      <c r="J28" s="4" t="n">
        <v>128.19</v>
      </c>
      <c r="K28" s="4" t="n">
        <v>125.99375</v>
      </c>
      <c r="L28" s="4" t="n">
        <v>126.6800003051758</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126.6800003051758</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3" t="n">
        <v>-1</v>
      </c>
      <c r="J30" s="4" t="n">
        <v>1609.49</v>
      </c>
      <c r="K30" s="4" t="n">
        <v>1581.73</v>
      </c>
      <c r="L30" s="4" t="n">
        <v>1581.819946289062</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1581.819946289062</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753.25</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386.9400024414062</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80551.03985217187</v>
      </c>
      <c r="D8" s="5">
        <f>IF(C7&gt;0,(B8-B7)/C7,"")</f>
        <v/>
      </c>
      <c r="E8" s="12">
        <f>B8-$B$2</f>
        <v/>
      </c>
      <c r="F8" s="5">
        <f>IF(C8&gt;0,E8/C8,"")</f>
        <v/>
      </c>
    </row>
    <row r="9">
      <c r="A9" s="2" t="inlineStr">
        <is>
          <t>2026-10-10</t>
        </is>
      </c>
      <c r="B9" s="11" t="n">
        <v>100372.87</v>
      </c>
      <c r="C9" s="11" t="n">
        <v>80551.03985217187</v>
      </c>
      <c r="D9" s="5">
        <f>IF(C8&gt;0,(B9-B8)/C8,"")</f>
        <v/>
      </c>
      <c r="E9" s="12">
        <f>B9-$B$2</f>
        <v/>
      </c>
      <c r="F9" s="5">
        <f>IF(C9&gt;0,E9/C9,"")</f>
        <v/>
      </c>
    </row>
  </sheetData>
  <autoFilter ref="A1:F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row r="9">
      <c r="A9" s="2" t="inlineStr">
        <is>
          <t>2026-10-09</t>
        </is>
      </c>
      <c r="B9" s="2" t="inlineStr">
        <is>
          <t>FEE</t>
        </is>
      </c>
      <c r="C9" s="2" t="n"/>
      <c r="D9" s="9" t="n"/>
      <c r="E9" s="13" t="n"/>
      <c r="F9" s="12" t="n">
        <v>-0.01</v>
      </c>
    </row>
    <row r="10">
      <c r="A10" s="2" t="inlineStr">
        <is>
          <t>2026-10-09</t>
        </is>
      </c>
      <c r="B10" s="2" t="inlineStr">
        <is>
          <t>FEE</t>
        </is>
      </c>
      <c r="C10" s="2" t="n"/>
      <c r="D10" s="9" t="n"/>
      <c r="E10" s="13" t="n"/>
      <c r="F10" s="12" t="n">
        <v>-0.06</v>
      </c>
    </row>
  </sheetData>
  <autoFilter ref="A1:F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2026-10-13T01:13:13Z</dcterms:created>
  <dcterms:modified xmlns:dcterms="http://purl.org/dc/terms/" xmlns:xsi="http://www.w3.org/2001/XMLSchema-instance" xsi:type="dcterms:W3CDTF">2026-10-13T01:13:14Z</dcterms:modified>
</cp:coreProperties>
</file>