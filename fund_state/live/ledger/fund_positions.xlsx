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trades'!$A$1:$H$57</definedName>
    <definedName name="_xlnm._FilterDatabase" localSheetId="3" hidden="1">'Positions'!$A$1:$Q$90</definedName>
    <definedName name="_xlnm._FilterDatabase" localSheetId="4" hidden="1">'Orders'!$A$1:$O$146</definedName>
    <definedName name="_xlnm._FilterDatabase" localSheetId="5" hidden="1">'Account'!$A$1:$F$19</definedName>
    <definedName name="_xlnm._FilterDatabase" localSheetId="6" hidden="1">'Cash activity'!$A$1:$F$27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2026-10-26 21:11 ET)</t>
        </is>
      </c>
      <c r="B2" s="3" t="n">
        <v>97951.8492</v>
      </c>
    </row>
    <row r="3">
      <c r="A3" s="2" t="inlineStr">
        <is>
          <t>Net deposits</t>
        </is>
      </c>
      <c r="B3" s="3" t="n">
        <v>100000</v>
      </c>
    </row>
    <row r="4">
      <c r="A4" s="2" t="inlineStr">
        <is>
          <t>Account P&amp;L</t>
        </is>
      </c>
      <c r="B4" s="3">
        <f>B2-B3</f>
        <v/>
      </c>
    </row>
    <row r="5">
      <c r="A5" s="2" t="inlineStr">
        <is>
          <t>Realized P&amp;L (closed shares, FIFO)</t>
        </is>
      </c>
      <c r="B5" s="3" t="n">
        <v>-980.429999999998</v>
      </c>
    </row>
    <row r="6">
      <c r="A6" s="2" t="inlineStr">
        <is>
          <t>Unrealized P&amp;L (open shares at Alpaca marks)</t>
        </is>
      </c>
      <c r="B6" s="3" t="n">
        <v>-1063.480799999995</v>
      </c>
    </row>
    <row r="7">
      <c r="A7" s="2" t="inlineStr">
        <is>
          <t>Dividends, fees &amp; interest</t>
        </is>
      </c>
      <c r="B7" s="3" t="n">
        <v>-4.239999999999999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343.37</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333.33</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188.4901</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28.4279</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247.66</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51.33</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117.96</v>
      </c>
      <c r="H8" s="6">
        <f>D8*G8</f>
        <v/>
      </c>
      <c r="I8" s="3">
        <f>D8*(G8-F8)</f>
        <v/>
      </c>
      <c r="J8" s="7">
        <f>IF(D8&gt;0,1,-1)*(G8/F8-1)</f>
        <v/>
      </c>
    </row>
    <row r="9">
      <c r="A9" s="2" t="inlineStr">
        <is>
          <t>LRCX</t>
        </is>
      </c>
      <c r="B9" s="2" t="inlineStr">
        <is>
          <t>LRCX</t>
        </is>
      </c>
      <c r="C9" s="2" t="inlineStr">
        <is>
          <t>Short</t>
        </is>
      </c>
      <c r="D9" s="4" t="n">
        <v>-7</v>
      </c>
      <c r="E9" s="2" t="inlineStr">
        <is>
          <t>2026-10-22</t>
        </is>
      </c>
      <c r="F9" s="5" t="n">
        <v>230.03</v>
      </c>
      <c r="G9" s="5" t="n">
        <v>239.78</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172.79</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236.93</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531.91</v>
      </c>
      <c r="H12" s="6">
        <f>D12*G12</f>
        <v/>
      </c>
      <c r="I12" s="3">
        <f>D12*(G12-F12)</f>
        <v/>
      </c>
      <c r="J12" s="7">
        <f>IF(D12&gt;0,1,-1)*(G12/F12-1)</f>
        <v/>
      </c>
    </row>
    <row r="13">
      <c r="A13" s="2" t="inlineStr">
        <is>
          <t>NFLX</t>
        </is>
      </c>
      <c r="B13" s="2" t="inlineStr">
        <is>
          <t>NFLX</t>
        </is>
      </c>
      <c r="C13" s="2" t="inlineStr">
        <is>
          <t>Short</t>
        </is>
      </c>
      <c r="D13" s="4" t="n">
        <v>-67</v>
      </c>
      <c r="E13" s="2" t="inlineStr">
        <is>
          <t>2026-10-22</t>
        </is>
      </c>
      <c r="F13" s="5" t="n">
        <v>65.86089552238806</v>
      </c>
      <c r="G13" s="5" t="n">
        <v>63.8</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37.92</v>
      </c>
      <c r="H14" s="6">
        <f>D14*G14</f>
        <v/>
      </c>
      <c r="I14" s="3">
        <f>D14*(G14-F14)</f>
        <v/>
      </c>
      <c r="J14" s="7">
        <f>IF(D14&gt;0,1,-1)*(G14/F14-1)</f>
        <v/>
      </c>
    </row>
    <row r="15">
      <c r="A15" s="2" t="inlineStr">
        <is>
          <t>ROL</t>
        </is>
      </c>
      <c r="B15" s="2" t="inlineStr">
        <is>
          <t>ROL</t>
        </is>
      </c>
      <c r="C15" s="2" t="inlineStr">
        <is>
          <t>Short</t>
        </is>
      </c>
      <c r="D15" s="4" t="n">
        <v>-283</v>
      </c>
      <c r="E15" s="2" t="inlineStr">
        <is>
          <t>2026-10-22</t>
        </is>
      </c>
      <c r="F15" s="5" t="n">
        <v>35.04272084805654</v>
      </c>
      <c r="G15" s="5" t="n">
        <v>34.4033</v>
      </c>
      <c r="H15" s="6">
        <f>D15*G15</f>
        <v/>
      </c>
      <c r="I15" s="3">
        <f>D15*(G15-F15)</f>
        <v/>
      </c>
      <c r="J15" s="7">
        <f>IF(D15&gt;0,1,-1)*(G15/F15-1)</f>
        <v/>
      </c>
    </row>
    <row r="16">
      <c r="A16" s="2" t="inlineStr">
        <is>
          <t>SMCI</t>
        </is>
      </c>
      <c r="B16" s="2" t="inlineStr">
        <is>
          <t>SMCI</t>
        </is>
      </c>
      <c r="C16" s="2" t="inlineStr">
        <is>
          <t>Long</t>
        </is>
      </c>
      <c r="D16" s="4" t="n">
        <v>266</v>
      </c>
      <c r="E16" s="2" t="inlineStr">
        <is>
          <t>2026-10-22</t>
        </is>
      </c>
      <c r="F16" s="5" t="n">
        <v>33.4584962406015</v>
      </c>
      <c r="G16" s="5" t="n">
        <v>33.09</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766.61</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394.2</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120.1263</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184.06</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sheetData>
  <autoFilter ref="A1:H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759.969970703125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815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877.5499877929688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877.5499877929688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65.84999847412109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542.1900024414062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99.01000213623047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138.6799926757812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759.969970703125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759.969970703125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759.969970703125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759.969970703125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516.7899780273438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516.7899780273438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321.6799926757812</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321.6799926757812</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321.6799926757812</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188.3500061035156</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253.4499969482422</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320.2099914550781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56.68999862670898</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756.1699829101562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1273.4599609375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228.5099945068359</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210.9600067138672</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210.9600067138672</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542.1900024414062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99.01000213623047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248.4600067138672</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642.6199951171875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37.29999923706055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135.7700042724609</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135.7700042724609</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1238.030029296875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1238.030029296875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630.489990234375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343.6700134277344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321.6799926757812</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188.3500061035156</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542.1900024414062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253.4499969482422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320.2099914550781</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756.1699829101562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1273.4599609375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99.01000213623047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248.4600067138672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642.6199951171875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135.7700042724609</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1238.030029296875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759.969970703125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630.489990234375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343.6700134277344</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32.93999862670898</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323.0400085449219</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524.510009765625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65.84999847412109</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210.9600067138672</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72.25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126.1600036621094</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372.2200012207031</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516.7899780273438</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50.56000137329102</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248.5700073242188</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76.77999877929688</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56.68999862670898</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331.5799865722656</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24.79999923706055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167.8300018310547</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516.7899780273438</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642.6199951171875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321.6799926757812</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188.3500061035156</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228.5099945068359</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37.29999923706055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759.969970703125</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248.5700073242188</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524.510009765625</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-67</v>
      </c>
      <c r="J79" s="5" t="n">
        <v>65.86089552238806</v>
      </c>
      <c r="K79" s="5" t="n"/>
      <c r="L79" s="5" t="n">
        <v>65.84999847412109</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266</v>
      </c>
      <c r="J80" s="5" t="n">
        <v>33.45947565543072</v>
      </c>
      <c r="K80" s="5" t="n"/>
      <c r="L80" s="5" t="n">
        <v>32.93999862670898</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372.2200012207031</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347.7300109863281</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27.52000045776367</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50.79000091552734</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117.4400024414062</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-7</v>
      </c>
      <c r="J86" s="5" t="n">
        <v>230.03</v>
      </c>
      <c r="K86" s="5" t="n"/>
      <c r="L86" s="5" t="n">
        <v>230.1000061035156</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173.4600067138672</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-283</v>
      </c>
      <c r="J88" s="5" t="n">
        <v>35.04272084805654</v>
      </c>
      <c r="K88" s="5" t="n"/>
      <c r="L88" s="5" t="n">
        <v>34.81999969482422</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119.8899993896484</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183.2100067138672</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sheetData>
  <autoFilter ref="A1:O1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sheetData>
  <autoFilter ref="A1:F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sheetData>
  <autoFilter ref="A1:F2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2026-10-27T01:11:11Z</dcterms:created>
  <dcterms:modified xmlns:dcterms="http://purl.org/dc/terms/" xmlns:xsi="http://www.w3.org/2001/XMLSchema-instance" xsi:type="dcterms:W3CDTF">2026-10-27T01:11:17Z</dcterms:modified>
</cp:coreProperties>
</file>