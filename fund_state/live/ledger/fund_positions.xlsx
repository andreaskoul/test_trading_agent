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positions'!$A$1:$J$22</definedName>
    <definedName name="_xlnm._FilterDatabase" localSheetId="2" hidden="1">'Realized trades'!$A$1:$H$51</definedName>
    <definedName name="_xlnm._FilterDatabase" localSheetId="3" hidden="1">'Positions'!$A$1:$Q$90</definedName>
    <definedName name="_xlnm._FilterDatabase" localSheetId="4" hidden="1">'Orders'!$A$1:$O$133</definedName>
    <definedName name="_xlnm._FilterDatabase" localSheetId="5" hidden="1">'Account'!$A$1:$F$17</definedName>
    <definedName name="_xlnm._FilterDatabase" localSheetId="6" hidden="1">'Cash activity'!$A$1:$F$23</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2026-10-23 15:16 ET)</t>
        </is>
      </c>
      <c r="B2" s="3" t="n">
        <v>97646.67</v>
      </c>
    </row>
    <row r="3">
      <c r="A3" s="2" t="inlineStr">
        <is>
          <t>Net deposits</t>
        </is>
      </c>
      <c r="B3" s="3" t="n">
        <v>100000</v>
      </c>
    </row>
    <row r="4">
      <c r="A4" s="2" t="inlineStr">
        <is>
          <t>Account P&amp;L</t>
        </is>
      </c>
      <c r="B4" s="3">
        <f>B2-B3</f>
        <v/>
      </c>
    </row>
    <row r="5">
      <c r="A5" s="2" t="inlineStr">
        <is>
          <t>Realized P&amp;L (closed shares, FIFO)</t>
        </is>
      </c>
      <c r="B5" s="3" t="n">
        <v>-852.9799999999985</v>
      </c>
    </row>
    <row r="6">
      <c r="A6" s="2" t="inlineStr">
        <is>
          <t>Unrealized P&amp;L (open shares at Alpaca marks)</t>
        </is>
      </c>
      <c r="B6" s="3" t="n">
        <v>-1496.479999999998</v>
      </c>
    </row>
    <row r="7">
      <c r="A7" s="2" t="inlineStr">
        <is>
          <t>Dividends, fees &amp; interest</t>
        </is>
      </c>
      <c r="B7" s="3" t="n">
        <v>-3.869999999999999</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AAPL</t>
        </is>
      </c>
      <c r="B2" s="2" t="inlineStr">
        <is>
          <t>AAPL</t>
        </is>
      </c>
      <c r="C2" s="2" t="inlineStr">
        <is>
          <t>Short</t>
        </is>
      </c>
      <c r="D2" s="4" t="n">
        <v>-7</v>
      </c>
      <c r="E2" s="2" t="inlineStr">
        <is>
          <t>2026-10-22</t>
        </is>
      </c>
      <c r="F2" s="5" t="n">
        <v>348.1885714285714</v>
      </c>
      <c r="G2" s="5" t="n">
        <v>346.6</v>
      </c>
      <c r="H2" s="6">
        <f>D2*G2</f>
        <v/>
      </c>
      <c r="I2" s="3">
        <f>D2*(G2-F2)</f>
        <v/>
      </c>
      <c r="J2" s="7">
        <f>IF(D2&gt;0,1,-1)*(G2/F2-1)</f>
        <v/>
      </c>
    </row>
    <row r="3">
      <c r="A3" s="2" t="inlineStr">
        <is>
          <t>AMD</t>
        </is>
      </c>
      <c r="B3" s="2" t="inlineStr">
        <is>
          <t>AMD</t>
        </is>
      </c>
      <c r="C3" s="2" t="inlineStr">
        <is>
          <t>Short</t>
        </is>
      </c>
      <c r="D3" s="4" t="n">
        <v>-5</v>
      </c>
      <c r="E3" s="2" t="inlineStr">
        <is>
          <t>2026-10-22</t>
        </is>
      </c>
      <c r="F3" s="5" t="n">
        <v>507.3560000000001</v>
      </c>
      <c r="G3" s="5" t="n">
        <v>517.58</v>
      </c>
      <c r="H3" s="6">
        <f>D3*G3</f>
        <v/>
      </c>
      <c r="I3" s="3">
        <f>D3*(G3-F3)</f>
        <v/>
      </c>
      <c r="J3" s="7">
        <f>IF(D3&gt;0,1,-1)*(G3/F3-1)</f>
        <v/>
      </c>
    </row>
    <row r="4">
      <c r="A4" s="2" t="inlineStr">
        <is>
          <t>AVGO</t>
        </is>
      </c>
      <c r="B4" s="2" t="inlineStr">
        <is>
          <t>AVGO</t>
        </is>
      </c>
      <c r="C4" s="2" t="inlineStr">
        <is>
          <t>Short</t>
        </is>
      </c>
      <c r="D4" s="4" t="n">
        <v>-7</v>
      </c>
      <c r="E4" s="2" t="inlineStr">
        <is>
          <t>2026-10-22</t>
        </is>
      </c>
      <c r="F4" s="5" t="n">
        <v>323.3714285714286</v>
      </c>
      <c r="G4" s="5" t="n">
        <v>323.77</v>
      </c>
      <c r="H4" s="6">
        <f>D4*G4</f>
        <v/>
      </c>
      <c r="I4" s="3">
        <f>D4*(G4-F4)</f>
        <v/>
      </c>
      <c r="J4" s="7">
        <f>IF(D4&gt;0,1,-1)*(G4/F4-1)</f>
        <v/>
      </c>
    </row>
    <row r="5">
      <c r="A5" s="2" t="inlineStr">
        <is>
          <t>BA</t>
        </is>
      </c>
      <c r="B5" s="2" t="inlineStr">
        <is>
          <t>BA</t>
        </is>
      </c>
      <c r="C5" s="2" t="inlineStr">
        <is>
          <t>Long</t>
        </is>
      </c>
      <c r="D5" s="4" t="n">
        <v>13</v>
      </c>
      <c r="E5" s="2" t="inlineStr">
        <is>
          <t>2026-10-22</t>
        </is>
      </c>
      <c r="F5" s="5" t="n">
        <v>187.4653846153846</v>
      </c>
      <c r="G5" s="5" t="n">
        <v>188.39</v>
      </c>
      <c r="H5" s="6">
        <f>D5*G5</f>
        <v/>
      </c>
      <c r="I5" s="3">
        <f>D5*(G5-F5)</f>
        <v/>
      </c>
      <c r="J5" s="7">
        <f>IF(D5&gt;0,1,-1)*(G5/F5-1)</f>
        <v/>
      </c>
    </row>
    <row r="6">
      <c r="A6" s="2" t="inlineStr">
        <is>
          <t>CMG</t>
        </is>
      </c>
      <c r="B6" s="2" t="inlineStr">
        <is>
          <t>CMG</t>
        </is>
      </c>
      <c r="C6" s="2" t="inlineStr">
        <is>
          <t>Short</t>
        </is>
      </c>
      <c r="D6" s="4" t="n">
        <v>-87</v>
      </c>
      <c r="E6" s="2" t="inlineStr">
        <is>
          <t>2026-10-22</t>
        </is>
      </c>
      <c r="F6" s="5" t="n">
        <v>28.07</v>
      </c>
      <c r="G6" s="5" t="n">
        <v>27.445</v>
      </c>
      <c r="H6" s="6">
        <f>D6*G6</f>
        <v/>
      </c>
      <c r="I6" s="3">
        <f>D6*(G6-F6)</f>
        <v/>
      </c>
      <c r="J6" s="7">
        <f>IF(D6&gt;0,1,-1)*(G6/F6-1)</f>
        <v/>
      </c>
    </row>
    <row r="7">
      <c r="A7" s="2" t="inlineStr">
        <is>
          <t>CRM</t>
        </is>
      </c>
      <c r="B7" s="2" t="inlineStr">
        <is>
          <t>CRM</t>
        </is>
      </c>
      <c r="C7" s="2" t="inlineStr">
        <is>
          <t>Short</t>
        </is>
      </c>
      <c r="D7" s="4" t="n">
        <v>-12</v>
      </c>
      <c r="E7" s="2" t="inlineStr">
        <is>
          <t>2026-10-22</t>
        </is>
      </c>
      <c r="F7" s="5" t="n">
        <v>250.35</v>
      </c>
      <c r="G7" s="5" t="n">
        <v>248.07</v>
      </c>
      <c r="H7" s="6">
        <f>D7*G7</f>
        <v/>
      </c>
      <c r="I7" s="3">
        <f>D7*(G7-F7)</f>
        <v/>
      </c>
      <c r="J7" s="7">
        <f>IF(D7&gt;0,1,-1)*(G7/F7-1)</f>
        <v/>
      </c>
    </row>
    <row r="8">
      <c r="A8" s="2" t="inlineStr">
        <is>
          <t>CSX</t>
        </is>
      </c>
      <c r="B8" s="2" t="inlineStr">
        <is>
          <t>CSX</t>
        </is>
      </c>
      <c r="C8" s="2" t="inlineStr">
        <is>
          <t>Long</t>
        </is>
      </c>
      <c r="D8" s="4" t="n">
        <v>114</v>
      </c>
      <c r="E8" s="2" t="inlineStr">
        <is>
          <t>2026-10-22</t>
        </is>
      </c>
      <c r="F8" s="5" t="n">
        <v>51.72</v>
      </c>
      <c r="G8" s="5" t="n">
        <v>51.125</v>
      </c>
      <c r="H8" s="6">
        <f>D8*G8</f>
        <v/>
      </c>
      <c r="I8" s="3">
        <f>D8*(G8-F8)</f>
        <v/>
      </c>
      <c r="J8" s="7">
        <f>IF(D8&gt;0,1,-1)*(G8/F8-1)</f>
        <v/>
      </c>
    </row>
    <row r="9">
      <c r="A9" s="2" t="inlineStr">
        <is>
          <t>HAS</t>
        </is>
      </c>
      <c r="B9" s="2" t="inlineStr">
        <is>
          <t>HAS</t>
        </is>
      </c>
      <c r="C9" s="2" t="inlineStr">
        <is>
          <t>Long</t>
        </is>
      </c>
      <c r="D9" s="4" t="n">
        <v>21</v>
      </c>
      <c r="E9" s="2" t="inlineStr">
        <is>
          <t>2026-10-22</t>
        </is>
      </c>
      <c r="F9" s="5" t="n">
        <v>117.22</v>
      </c>
      <c r="G9" s="5" t="n">
        <v>117.24</v>
      </c>
      <c r="H9" s="6">
        <f>D9*G9</f>
        <v/>
      </c>
      <c r="I9" s="3">
        <f>D9*(G9-F9)</f>
        <v/>
      </c>
      <c r="J9" s="7">
        <f>IF(D9&gt;0,1,-1)*(G9/F9-1)</f>
        <v/>
      </c>
    </row>
    <row r="10">
      <c r="A10" s="2" t="inlineStr">
        <is>
          <t>LRCX</t>
        </is>
      </c>
      <c r="B10" s="2" t="inlineStr">
        <is>
          <t>LRCX</t>
        </is>
      </c>
      <c r="C10" s="2" t="inlineStr">
        <is>
          <t>Short</t>
        </is>
      </c>
      <c r="D10" s="4" t="n">
        <v>-13</v>
      </c>
      <c r="E10" s="2" t="inlineStr">
        <is>
          <t>2026-10-22</t>
        </is>
      </c>
      <c r="F10" s="5" t="n">
        <v>230.03</v>
      </c>
      <c r="G10" s="5" t="n">
        <v>230.12</v>
      </c>
      <c r="H10" s="6">
        <f>D10*G10</f>
        <v/>
      </c>
      <c r="I10" s="3">
        <f>D10*(G10-F10)</f>
        <v/>
      </c>
      <c r="J10" s="7">
        <f>IF(D10&gt;0,1,-1)*(G10/F10-1)</f>
        <v/>
      </c>
    </row>
    <row r="11">
      <c r="A11" s="2" t="inlineStr">
        <is>
          <t>META</t>
        </is>
      </c>
      <c r="B11" s="2" t="inlineStr">
        <is>
          <t>META</t>
        </is>
      </c>
      <c r="C11" s="2" t="inlineStr">
        <is>
          <t>Long</t>
        </is>
      </c>
      <c r="D11" s="4" t="n">
        <v>7</v>
      </c>
      <c r="E11" s="2" t="inlineStr">
        <is>
          <t>2026-10-22</t>
        </is>
      </c>
      <c r="F11" s="5" t="n">
        <v>648.3942857142857</v>
      </c>
      <c r="G11" s="5" t="n">
        <v>645.23</v>
      </c>
      <c r="H11" s="6">
        <f>D11*G11</f>
        <v/>
      </c>
      <c r="I11" s="3">
        <f>D11*(G11-F11)</f>
        <v/>
      </c>
      <c r="J11" s="7">
        <f>IF(D11&gt;0,1,-1)*(G11/F11-1)</f>
        <v/>
      </c>
    </row>
    <row r="12">
      <c r="A12" s="2" t="inlineStr">
        <is>
          <t>MMM</t>
        </is>
      </c>
      <c r="B12" s="2" t="inlineStr">
        <is>
          <t>MMM</t>
        </is>
      </c>
      <c r="C12" s="2" t="inlineStr">
        <is>
          <t>Long</t>
        </is>
      </c>
      <c r="D12" s="4" t="n">
        <v>15</v>
      </c>
      <c r="E12" s="2" t="inlineStr">
        <is>
          <t>2026-10-22</t>
        </is>
      </c>
      <c r="F12" s="5" t="n">
        <v>175.868</v>
      </c>
      <c r="G12" s="5" t="n">
        <v>174.23</v>
      </c>
      <c r="H12" s="6">
        <f>D12*G12</f>
        <v/>
      </c>
      <c r="I12" s="3">
        <f>D12*(G12-F12)</f>
        <v/>
      </c>
      <c r="J12" s="7">
        <f>IF(D12&gt;0,1,-1)*(G12/F12-1)</f>
        <v/>
      </c>
    </row>
    <row r="13">
      <c r="A13" s="2" t="inlineStr">
        <is>
          <t>MRVL</t>
        </is>
      </c>
      <c r="B13" s="2" t="inlineStr">
        <is>
          <t>MRVL</t>
        </is>
      </c>
      <c r="C13" s="2" t="inlineStr">
        <is>
          <t>Long</t>
        </is>
      </c>
      <c r="D13" s="4" t="n">
        <v>35</v>
      </c>
      <c r="E13" s="2" t="inlineStr">
        <is>
          <t>2026-10-08</t>
        </is>
      </c>
      <c r="F13" s="5" t="n">
        <v>262.5911428571428</v>
      </c>
      <c r="G13" s="5" t="n">
        <v>228.81</v>
      </c>
      <c r="H13" s="6">
        <f>D13*G13</f>
        <v/>
      </c>
      <c r="I13" s="3">
        <f>D13*(G13-F13)</f>
        <v/>
      </c>
      <c r="J13" s="7">
        <f>IF(D13&gt;0,1,-1)*(G13/F13-1)</f>
        <v/>
      </c>
    </row>
    <row r="14">
      <c r="A14" s="2" t="inlineStr">
        <is>
          <t>MSFT</t>
        </is>
      </c>
      <c r="B14" s="2" t="inlineStr">
        <is>
          <t>MSFT</t>
        </is>
      </c>
      <c r="C14" s="2" t="inlineStr">
        <is>
          <t>Short</t>
        </is>
      </c>
      <c r="D14" s="4" t="n">
        <v>-5</v>
      </c>
      <c r="E14" s="2" t="inlineStr">
        <is>
          <t>2026-10-22</t>
        </is>
      </c>
      <c r="F14" s="5" t="n">
        <v>520.91</v>
      </c>
      <c r="G14" s="5" t="n">
        <v>523.51</v>
      </c>
      <c r="H14" s="6">
        <f>D14*G14</f>
        <v/>
      </c>
      <c r="I14" s="3">
        <f>D14*(G14-F14)</f>
        <v/>
      </c>
      <c r="J14" s="7">
        <f>IF(D14&gt;0,1,-1)*(G14/F14-1)</f>
        <v/>
      </c>
    </row>
    <row r="15">
      <c r="A15" s="2" t="inlineStr">
        <is>
          <t>NFLX</t>
        </is>
      </c>
      <c r="B15" s="2" t="inlineStr">
        <is>
          <t>NFLX</t>
        </is>
      </c>
      <c r="C15" s="2" t="inlineStr">
        <is>
          <t>Short</t>
        </is>
      </c>
      <c r="D15" s="4" t="n">
        <v>-42</v>
      </c>
      <c r="E15" s="2" t="inlineStr">
        <is>
          <t>2026-10-22</t>
        </is>
      </c>
      <c r="F15" s="5" t="n">
        <v>67.04000000000001</v>
      </c>
      <c r="G15" s="5" t="n">
        <v>66.035</v>
      </c>
      <c r="H15" s="6">
        <f>D15*G15</f>
        <v/>
      </c>
      <c r="I15" s="3">
        <f>D15*(G15-F15)</f>
        <v/>
      </c>
      <c r="J15" s="7">
        <f>IF(D15&gt;0,1,-1)*(G15/F15-1)</f>
        <v/>
      </c>
    </row>
    <row r="16">
      <c r="A16" s="2" t="inlineStr">
        <is>
          <t>NKE</t>
        </is>
      </c>
      <c r="B16" s="2" t="inlineStr">
        <is>
          <t>NKE</t>
        </is>
      </c>
      <c r="C16" s="2" t="inlineStr">
        <is>
          <t>Short</t>
        </is>
      </c>
      <c r="D16" s="4" t="n">
        <v>-256</v>
      </c>
      <c r="E16" s="2" t="inlineStr">
        <is>
          <t>2026-10-08</t>
        </is>
      </c>
      <c r="F16" s="5" t="n">
        <v>35.49667968750001</v>
      </c>
      <c r="G16" s="5" t="n">
        <v>37.355</v>
      </c>
      <c r="H16" s="6">
        <f>D16*G16</f>
        <v/>
      </c>
      <c r="I16" s="3">
        <f>D16*(G16-F16)</f>
        <v/>
      </c>
      <c r="J16" s="7">
        <f>IF(D16&gt;0,1,-1)*(G16/F16-1)</f>
        <v/>
      </c>
    </row>
    <row r="17">
      <c r="A17" s="2" t="inlineStr">
        <is>
          <t>ROL</t>
        </is>
      </c>
      <c r="B17" s="2" t="inlineStr">
        <is>
          <t>ROL</t>
        </is>
      </c>
      <c r="C17" s="2" t="inlineStr">
        <is>
          <t>Short</t>
        </is>
      </c>
      <c r="D17" s="4" t="n">
        <v>-199</v>
      </c>
      <c r="E17" s="2" t="inlineStr">
        <is>
          <t>2026-10-22</t>
        </is>
      </c>
      <c r="F17" s="5" t="n">
        <v>35.27999999999999</v>
      </c>
      <c r="G17" s="5" t="n">
        <v>34.525</v>
      </c>
      <c r="H17" s="6">
        <f>D17*G17</f>
        <v/>
      </c>
      <c r="I17" s="3">
        <f>D17*(G17-F17)</f>
        <v/>
      </c>
      <c r="J17" s="7">
        <f>IF(D17&gt;0,1,-1)*(G17/F17-1)</f>
        <v/>
      </c>
    </row>
    <row r="18">
      <c r="A18" s="2" t="inlineStr">
        <is>
          <t>SMCI</t>
        </is>
      </c>
      <c r="B18" s="2" t="inlineStr">
        <is>
          <t>SMCI</t>
        </is>
      </c>
      <c r="C18" s="2" t="inlineStr">
        <is>
          <t>Long</t>
        </is>
      </c>
      <c r="D18" s="4" t="n">
        <v>173</v>
      </c>
      <c r="E18" s="2" t="inlineStr">
        <is>
          <t>2026-10-22</t>
        </is>
      </c>
      <c r="F18" s="5" t="n">
        <v>33.72</v>
      </c>
      <c r="G18" s="5" t="n">
        <v>32.995</v>
      </c>
      <c r="H18" s="6">
        <f>D18*G18</f>
        <v/>
      </c>
      <c r="I18" s="3">
        <f>D18*(G18-F18)</f>
        <v/>
      </c>
      <c r="J18" s="7">
        <f>IF(D18&gt;0,1,-1)*(G18/F18-1)</f>
        <v/>
      </c>
    </row>
    <row r="19">
      <c r="A19" s="2" t="inlineStr">
        <is>
          <t>SPY</t>
        </is>
      </c>
      <c r="B19" s="2" t="inlineStr">
        <is>
          <t>SPDR S&amp;P 500 ETF</t>
        </is>
      </c>
      <c r="C19" s="2" t="inlineStr">
        <is>
          <t>Short</t>
        </is>
      </c>
      <c r="D19" s="4" t="n">
        <v>-22</v>
      </c>
      <c r="E19" s="2" t="inlineStr">
        <is>
          <t>2026-10-21</t>
        </is>
      </c>
      <c r="F19" s="5" t="n">
        <v>768.7913636363636</v>
      </c>
      <c r="G19" s="5" t="n">
        <v>760.62</v>
      </c>
      <c r="H19" s="6">
        <f>D19*G19</f>
        <v/>
      </c>
      <c r="I19" s="3">
        <f>D19*(G19-F19)</f>
        <v/>
      </c>
      <c r="J19" s="7">
        <f>IF(D19&gt;0,1,-1)*(G19/F19-1)</f>
        <v/>
      </c>
    </row>
    <row r="20">
      <c r="A20" s="2" t="inlineStr">
        <is>
          <t>TSLA</t>
        </is>
      </c>
      <c r="B20" s="2" t="inlineStr">
        <is>
          <t>TSLA</t>
        </is>
      </c>
      <c r="C20" s="2" t="inlineStr">
        <is>
          <t>Long</t>
        </is>
      </c>
      <c r="D20" s="4" t="n">
        <v>13</v>
      </c>
      <c r="E20" s="2" t="inlineStr">
        <is>
          <t>2026-10-22</t>
        </is>
      </c>
      <c r="F20" s="5" t="n">
        <v>375.053076923077</v>
      </c>
      <c r="G20" s="5" t="n">
        <v>372.115</v>
      </c>
      <c r="H20" s="6">
        <f>D20*G20</f>
        <v/>
      </c>
      <c r="I20" s="3">
        <f>D20*(G20-F20)</f>
        <v/>
      </c>
      <c r="J20" s="7">
        <f>IF(D20&gt;0,1,-1)*(G20/F20-1)</f>
        <v/>
      </c>
    </row>
    <row r="21">
      <c r="A21" s="2" t="inlineStr">
        <is>
          <t>WMT</t>
        </is>
      </c>
      <c r="B21" s="2" t="inlineStr">
        <is>
          <t>WMT</t>
        </is>
      </c>
      <c r="C21" s="2" t="inlineStr">
        <is>
          <t>Long</t>
        </is>
      </c>
      <c r="D21" s="4" t="n">
        <v>24</v>
      </c>
      <c r="E21" s="2" t="inlineStr">
        <is>
          <t>2026-10-22</t>
        </is>
      </c>
      <c r="F21" s="5" t="n">
        <v>121.07</v>
      </c>
      <c r="G21" s="5" t="n">
        <v>119.37</v>
      </c>
      <c r="H21" s="6">
        <f>D21*G21</f>
        <v/>
      </c>
      <c r="I21" s="3">
        <f>D21*(G21-F21)</f>
        <v/>
      </c>
      <c r="J21" s="7">
        <f>IF(D21&gt;0,1,-1)*(G21/F21-1)</f>
        <v/>
      </c>
    </row>
    <row r="22">
      <c r="A22" s="2" t="inlineStr">
        <is>
          <t>XOM</t>
        </is>
      </c>
      <c r="B22" s="2" t="inlineStr">
        <is>
          <t>XOM</t>
        </is>
      </c>
      <c r="C22" s="2" t="inlineStr">
        <is>
          <t>Long</t>
        </is>
      </c>
      <c r="D22" s="4" t="n">
        <v>14</v>
      </c>
      <c r="E22" s="2" t="inlineStr">
        <is>
          <t>2026-10-22</t>
        </is>
      </c>
      <c r="F22" s="5" t="n">
        <v>177.92</v>
      </c>
      <c r="G22" s="5" t="n">
        <v>183</v>
      </c>
      <c r="H22" s="6">
        <f>D22*G22</f>
        <v/>
      </c>
      <c r="I22" s="3">
        <f>D22*(G22-F22)</f>
        <v/>
      </c>
      <c r="J22" s="7">
        <f>IF(D22&gt;0,1,-1)*(G22/F22-1)</f>
        <v/>
      </c>
    </row>
  </sheetData>
  <autoFilter ref="A1:J2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row r="44">
      <c r="A44" s="2" t="inlineStr">
        <is>
          <t>2026-10-22</t>
        </is>
      </c>
      <c r="B44" s="2" t="inlineStr">
        <is>
          <t>AMD</t>
        </is>
      </c>
      <c r="C44" s="2" t="inlineStr">
        <is>
          <t>AMD</t>
        </is>
      </c>
      <c r="D44" s="2" t="inlineStr">
        <is>
          <t>Long</t>
        </is>
      </c>
      <c r="E44" s="4" t="n">
        <v>6</v>
      </c>
      <c r="F44" s="5" t="n">
        <v>582.0666666666667</v>
      </c>
      <c r="G44" s="5" t="n">
        <v>508.1433333333334</v>
      </c>
      <c r="H44" s="3">
        <f>E44*(G44-F44)</f>
        <v/>
      </c>
    </row>
    <row r="45">
      <c r="A45" s="2" t="inlineStr">
        <is>
          <t>2026-10-22</t>
        </is>
      </c>
      <c r="B45" s="2" t="inlineStr">
        <is>
          <t>CRM</t>
        </is>
      </c>
      <c r="C45" s="2" t="inlineStr">
        <is>
          <t>CRM</t>
        </is>
      </c>
      <c r="D45" s="2" t="inlineStr">
        <is>
          <t>Long</t>
        </is>
      </c>
      <c r="E45" s="4" t="n">
        <v>18</v>
      </c>
      <c r="F45" s="5" t="n">
        <v>245.0494444444445</v>
      </c>
      <c r="G45" s="5" t="n">
        <v>250.53</v>
      </c>
      <c r="H45" s="3">
        <f>E45*(G45-F45)</f>
        <v/>
      </c>
    </row>
    <row r="46">
      <c r="A46" s="2" t="inlineStr">
        <is>
          <t>2026-10-22</t>
        </is>
      </c>
      <c r="B46" s="2" t="inlineStr">
        <is>
          <t>BAC</t>
        </is>
      </c>
      <c r="C46" s="2" t="inlineStr">
        <is>
          <t>BAC</t>
        </is>
      </c>
      <c r="D46" s="2" t="inlineStr">
        <is>
          <t>Short</t>
        </is>
      </c>
      <c r="E46" s="4" t="n">
        <v>-68</v>
      </c>
      <c r="F46" s="5" t="n">
        <v>51.19367647058823</v>
      </c>
      <c r="G46" s="5" t="n">
        <v>51.03</v>
      </c>
      <c r="H46" s="3">
        <f>E46*(G46-F46)</f>
        <v/>
      </c>
    </row>
    <row r="47">
      <c r="A47" s="2" t="inlineStr">
        <is>
          <t>2026-10-22</t>
        </is>
      </c>
      <c r="B47" s="2" t="inlineStr">
        <is>
          <t>DAL</t>
        </is>
      </c>
      <c r="C47" s="2" t="inlineStr">
        <is>
          <t>DAL</t>
        </is>
      </c>
      <c r="D47" s="2" t="inlineStr">
        <is>
          <t>Short</t>
        </is>
      </c>
      <c r="E47" s="4" t="n">
        <v>-47</v>
      </c>
      <c r="F47" s="5" t="n">
        <v>75.45893617021277</v>
      </c>
      <c r="G47" s="5" t="n">
        <v>79.14936170212766</v>
      </c>
      <c r="H47" s="3">
        <f>E47*(G47-F47)</f>
        <v/>
      </c>
    </row>
    <row r="48">
      <c r="A48" s="2" t="inlineStr">
        <is>
          <t>2026-10-22</t>
        </is>
      </c>
      <c r="B48" s="2" t="inlineStr">
        <is>
          <t>HPE</t>
        </is>
      </c>
      <c r="C48" s="2" t="inlineStr">
        <is>
          <t>HPE</t>
        </is>
      </c>
      <c r="D48" s="2" t="inlineStr">
        <is>
          <t>Long</t>
        </is>
      </c>
      <c r="E48" s="4" t="n">
        <v>65</v>
      </c>
      <c r="F48" s="5" t="n">
        <v>65.19323076923077</v>
      </c>
      <c r="G48" s="5" t="n">
        <v>55.43000000000001</v>
      </c>
      <c r="H48" s="3">
        <f>E48*(G48-F48)</f>
        <v/>
      </c>
    </row>
    <row r="49">
      <c r="A49" s="2" t="inlineStr">
        <is>
          <t>2026-10-22</t>
        </is>
      </c>
      <c r="B49" s="2" t="inlineStr">
        <is>
          <t>KHC</t>
        </is>
      </c>
      <c r="C49" s="2" t="inlineStr">
        <is>
          <t>KHC</t>
        </is>
      </c>
      <c r="D49" s="2" t="inlineStr">
        <is>
          <t>Short</t>
        </is>
      </c>
      <c r="E49" s="4" t="n">
        <v>-101</v>
      </c>
      <c r="F49" s="5" t="n">
        <v>23.23999999999999</v>
      </c>
      <c r="G49" s="5" t="n">
        <v>25.1</v>
      </c>
      <c r="H49" s="3">
        <f>E49*(G49-F49)</f>
        <v/>
      </c>
    </row>
    <row r="50">
      <c r="A50" s="2" t="inlineStr">
        <is>
          <t>2026-10-22</t>
        </is>
      </c>
      <c r="B50" s="2" t="inlineStr">
        <is>
          <t>JPM</t>
        </is>
      </c>
      <c r="C50" s="2" t="inlineStr">
        <is>
          <t>JPM</t>
        </is>
      </c>
      <c r="D50" s="2" t="inlineStr">
        <is>
          <t>Short</t>
        </is>
      </c>
      <c r="E50" s="4" t="n">
        <v>-7</v>
      </c>
      <c r="F50" s="5" t="n">
        <v>335.42</v>
      </c>
      <c r="G50" s="5" t="n">
        <v>336.3628571428571</v>
      </c>
      <c r="H50" s="3">
        <f>E50*(G50-F50)</f>
        <v/>
      </c>
    </row>
    <row r="51">
      <c r="A51" s="2" t="inlineStr">
        <is>
          <t>2026-10-22</t>
        </is>
      </c>
      <c r="B51" s="2" t="inlineStr">
        <is>
          <t>STT</t>
        </is>
      </c>
      <c r="C51" s="2" t="inlineStr">
        <is>
          <t>STT</t>
        </is>
      </c>
      <c r="D51" s="2" t="inlineStr">
        <is>
          <t>Short</t>
        </is>
      </c>
      <c r="E51" s="4" t="n">
        <v>-14</v>
      </c>
      <c r="F51" s="5" t="n">
        <v>167.6371428571428</v>
      </c>
      <c r="G51" s="5" t="n">
        <v>167.7328571428571</v>
      </c>
      <c r="H51" s="3">
        <f>E51*(G51-F51)</f>
        <v/>
      </c>
    </row>
  </sheetData>
  <autoFilter ref="A1:H5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9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760.705</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818.74</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878.73</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878.73</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66.05500000000001</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541.09</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98.89</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138.11</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760.705</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760.705</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760.705</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760.705</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517.29</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517.29</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323.79</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323.79</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323.79</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188.44</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253.09</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321.83</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56.93</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764.45</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1265.81</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228.905</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212.03</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212.03</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541.09</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98.89</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247.67</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645.35</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37.365</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135.645</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135.645</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1249.17</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1249.17</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636.03</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340.45</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323.79</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188.44</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541.09</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253.09</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321.83</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764.45</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1265.81</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98.89</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247.67</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645.35</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135.645</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1249.17</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760.705</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636.03</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340.45</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32.985</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323.77</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523.4299999999999</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66.05500000000001</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212.03</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72.52</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127.37</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372.07</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2026-10-21</t>
        </is>
      </c>
      <c r="B62" s="2" t="inlineStr">
        <is>
          <t>AMD</t>
        </is>
      </c>
      <c r="C62" s="2" t="inlineStr">
        <is>
          <t>AMD</t>
        </is>
      </c>
      <c r="D62" s="2" t="inlineStr">
        <is>
          <t>position (lifecycle)</t>
        </is>
      </c>
      <c r="E62" s="2" t="inlineStr">
        <is>
          <t>Long</t>
        </is>
      </c>
      <c r="F62" s="2" t="inlineStr">
        <is>
          <t>Closed</t>
        </is>
      </c>
      <c r="G62" s="2" t="inlineStr">
        <is>
          <t>2026-10-15</t>
        </is>
      </c>
      <c r="H62" s="2" t="inlineStr">
        <is>
          <t>2026-10-22</t>
        </is>
      </c>
      <c r="I62" s="4" t="n">
        <v>6</v>
      </c>
      <c r="J62" s="5" t="n">
        <v>562.43666015625</v>
      </c>
      <c r="K62" s="5" t="n">
        <v>508.143333</v>
      </c>
      <c r="L62" s="5" t="n">
        <v>517.58</v>
      </c>
      <c r="M62" s="7">
        <f>IFERROR(IF(E62="Short",-1,1)*(IF(K62&lt;&gt;"",K62,L62)/J62-1),"")</f>
        <v/>
      </c>
      <c r="N62" s="6">
        <f>IFERROR(I62*(IF(K62&lt;&gt;"",K62,L62)-J62),"")</f>
        <v/>
      </c>
      <c r="O62" s="8" t="n">
        <v>0.5</v>
      </c>
      <c r="P62" s="2" t="n"/>
      <c r="Q62"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63">
      <c r="A63" s="2" t="inlineStr">
        <is>
          <t>2026-10-14</t>
        </is>
      </c>
      <c r="B63" s="2" t="inlineStr">
        <is>
          <t>BAC</t>
        </is>
      </c>
      <c r="C63" s="2" t="inlineStr">
        <is>
          <t>BAC</t>
        </is>
      </c>
      <c r="D63" s="2" t="inlineStr">
        <is>
          <t>position (lifecycle)</t>
        </is>
      </c>
      <c r="E63" s="2" t="inlineStr">
        <is>
          <t>Short</t>
        </is>
      </c>
      <c r="F63" s="2" t="inlineStr">
        <is>
          <t>Closed</t>
        </is>
      </c>
      <c r="G63" s="2" t="inlineStr">
        <is>
          <t>2026-10-15</t>
        </is>
      </c>
      <c r="H63" s="2" t="inlineStr">
        <is>
          <t>2026-10-22</t>
        </is>
      </c>
      <c r="I63" s="4" t="n">
        <v>-68</v>
      </c>
      <c r="J63" s="5" t="n">
        <v>51.19367658823529</v>
      </c>
      <c r="K63" s="5" t="n">
        <v>51.03</v>
      </c>
      <c r="L63" s="5" t="n">
        <v>50.725</v>
      </c>
      <c r="M63" s="7">
        <f>IFERROR(IF(E63="Short",-1,1)*(IF(K63&lt;&gt;"",K63,L63)/J63-1),"")</f>
        <v/>
      </c>
      <c r="N63" s="6">
        <f>IFERROR(I63*(IF(K63&lt;&gt;"",K63,L63)-J63),"")</f>
        <v/>
      </c>
      <c r="O63" s="8" t="n">
        <v>0.58</v>
      </c>
      <c r="P63" s="2" t="n"/>
      <c r="Q63"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4">
      <c r="A64" s="2" t="inlineStr">
        <is>
          <t>2026-10-21</t>
        </is>
      </c>
      <c r="B64" s="2" t="inlineStr">
        <is>
          <t>CRM</t>
        </is>
      </c>
      <c r="C64" s="2" t="inlineStr">
        <is>
          <t>CRM</t>
        </is>
      </c>
      <c r="D64" s="2" t="inlineStr">
        <is>
          <t>position (lifecycle)</t>
        </is>
      </c>
      <c r="E64" s="2" t="inlineStr">
        <is>
          <t>Long</t>
        </is>
      </c>
      <c r="F64" s="2" t="inlineStr">
        <is>
          <t>Closed</t>
        </is>
      </c>
      <c r="G64" s="2" t="inlineStr">
        <is>
          <t>2026-10-15</t>
        </is>
      </c>
      <c r="H64" s="2" t="inlineStr">
        <is>
          <t>2026-10-22</t>
        </is>
      </c>
      <c r="I64" s="4" t="n">
        <v>18</v>
      </c>
      <c r="J64" s="5" t="n">
        <v>245.0494446666667</v>
      </c>
      <c r="K64" s="5" t="n">
        <v>250.53</v>
      </c>
      <c r="L64" s="5" t="n">
        <v>247.78</v>
      </c>
      <c r="M64" s="7">
        <f>IFERROR(IF(E64="Short",-1,1)*(IF(K64&lt;&gt;"",K64,L64)/J64-1),"")</f>
        <v/>
      </c>
      <c r="N64" s="6">
        <f>IFERROR(I64*(IF(K64&lt;&gt;"",K64,L64)-J64),"")</f>
        <v/>
      </c>
      <c r="O64" s="8" t="n">
        <v>0.6</v>
      </c>
      <c r="P64" s="2" t="n"/>
      <c r="Q6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65">
      <c r="A65" s="2" t="inlineStr">
        <is>
          <t>2026-10-14</t>
        </is>
      </c>
      <c r="B65" s="2" t="inlineStr">
        <is>
          <t>DAL</t>
        </is>
      </c>
      <c r="C65" s="2" t="inlineStr">
        <is>
          <t>DAL</t>
        </is>
      </c>
      <c r="D65" s="2" t="inlineStr">
        <is>
          <t>position (lifecycle)</t>
        </is>
      </c>
      <c r="E65" s="2" t="inlineStr">
        <is>
          <t>Short</t>
        </is>
      </c>
      <c r="F65" s="2" t="inlineStr">
        <is>
          <t>Closed</t>
        </is>
      </c>
      <c r="G65" s="2" t="inlineStr">
        <is>
          <t>2026-10-15</t>
        </is>
      </c>
      <c r="H65" s="2" t="inlineStr">
        <is>
          <t>2026-10-22</t>
        </is>
      </c>
      <c r="I65" s="4" t="n">
        <v>-47</v>
      </c>
      <c r="J65" s="5" t="n">
        <v>76.79842105263158</v>
      </c>
      <c r="K65" s="5" t="n">
        <v>79.149362</v>
      </c>
      <c r="L65" s="5" t="n">
        <v>76.175</v>
      </c>
      <c r="M65" s="7">
        <f>IFERROR(IF(E65="Short",-1,1)*(IF(K65&lt;&gt;"",K65,L65)/J65-1),"")</f>
        <v/>
      </c>
      <c r="N65" s="6">
        <f>IFERROR(I65*(IF(K65&lt;&gt;"",K65,L65)-J65),"")</f>
        <v/>
      </c>
      <c r="O65" s="8" t="n">
        <v>0.6</v>
      </c>
      <c r="P65" s="2" t="n"/>
      <c r="Q65"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6">
      <c r="A66" s="2" t="inlineStr">
        <is>
          <t>2026-10-07</t>
        </is>
      </c>
      <c r="B66" s="2" t="inlineStr">
        <is>
          <t>HPE</t>
        </is>
      </c>
      <c r="C66" s="2" t="inlineStr">
        <is>
          <t>HPE</t>
        </is>
      </c>
      <c r="D66" s="2" t="inlineStr">
        <is>
          <t>position (lifecycle)</t>
        </is>
      </c>
      <c r="E66" s="2" t="inlineStr">
        <is>
          <t>Long</t>
        </is>
      </c>
      <c r="F66" s="2" t="inlineStr">
        <is>
          <t>Closed</t>
        </is>
      </c>
      <c r="G66" s="2" t="inlineStr">
        <is>
          <t>2026-10-15</t>
        </is>
      </c>
      <c r="H66" s="2" t="inlineStr">
        <is>
          <t>2026-10-22</t>
        </is>
      </c>
      <c r="I66" s="4" t="n">
        <v>65</v>
      </c>
      <c r="J66" s="5" t="n">
        <v>58.38646216080229</v>
      </c>
      <c r="K66" s="5" t="n">
        <v>55.43</v>
      </c>
      <c r="L66" s="5" t="n">
        <v>56.93</v>
      </c>
      <c r="M66" s="7">
        <f>IFERROR(IF(E66="Short",-1,1)*(IF(K66&lt;&gt;"",K66,L66)/J66-1),"")</f>
        <v/>
      </c>
      <c r="N66" s="6">
        <f>IFERROR(I66*(IF(K66&lt;&gt;"",K66,L66)-J66),"")</f>
        <v/>
      </c>
      <c r="O66" s="8" t="n">
        <v>0.6</v>
      </c>
      <c r="P66" s="2" t="n"/>
      <c r="Q66"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7">
      <c r="A67" s="2" t="inlineStr">
        <is>
          <t>2026-10-14</t>
        </is>
      </c>
      <c r="B67" s="2" t="inlineStr">
        <is>
          <t>JPM</t>
        </is>
      </c>
      <c r="C67" s="2" t="inlineStr">
        <is>
          <t>JPM</t>
        </is>
      </c>
      <c r="D67" s="2" t="inlineStr">
        <is>
          <t>position (lifecycle)</t>
        </is>
      </c>
      <c r="E67" s="2" t="inlineStr">
        <is>
          <t>Short</t>
        </is>
      </c>
      <c r="F67" s="2" t="inlineStr">
        <is>
          <t>Closed</t>
        </is>
      </c>
      <c r="G67" s="2" t="inlineStr">
        <is>
          <t>2026-10-15</t>
        </is>
      </c>
      <c r="H67" s="2" t="inlineStr">
        <is>
          <t>2026-10-22</t>
        </is>
      </c>
      <c r="I67" s="4" t="n">
        <v>-7</v>
      </c>
      <c r="J67" s="5" t="n">
        <v>335.42</v>
      </c>
      <c r="K67" s="5" t="n">
        <v>336.362857</v>
      </c>
      <c r="L67" s="5" t="n">
        <v>332.275</v>
      </c>
      <c r="M67" s="7">
        <f>IFERROR(IF(E67="Short",-1,1)*(IF(K67&lt;&gt;"",K67,L67)/J67-1),"")</f>
        <v/>
      </c>
      <c r="N67" s="6">
        <f>IFERROR(I67*(IF(K67&lt;&gt;"",K67,L67)-J67),"")</f>
        <v/>
      </c>
      <c r="O67" s="8" t="n">
        <v>0.6</v>
      </c>
      <c r="P67" s="2" t="n"/>
      <c r="Q67"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8">
      <c r="A68" s="2" t="inlineStr">
        <is>
          <t>2026-10-14</t>
        </is>
      </c>
      <c r="B68" s="2" t="inlineStr">
        <is>
          <t>KHC</t>
        </is>
      </c>
      <c r="C68" s="2" t="inlineStr">
        <is>
          <t>KHC</t>
        </is>
      </c>
      <c r="D68" s="2" t="inlineStr">
        <is>
          <t>position (lifecycle)</t>
        </is>
      </c>
      <c r="E68" s="2" t="inlineStr">
        <is>
          <t>Short</t>
        </is>
      </c>
      <c r="F68" s="2" t="inlineStr">
        <is>
          <t>Closed</t>
        </is>
      </c>
      <c r="G68" s="2" t="inlineStr">
        <is>
          <t>2026-10-15</t>
        </is>
      </c>
      <c r="H68" s="2" t="inlineStr">
        <is>
          <t>2026-10-22</t>
        </is>
      </c>
      <c r="I68" s="4" t="n">
        <v>-101</v>
      </c>
      <c r="J68" s="5" t="n">
        <v>23.24</v>
      </c>
      <c r="K68" s="5" t="n">
        <v>25.1</v>
      </c>
      <c r="L68" s="5" t="n">
        <v>24.765</v>
      </c>
      <c r="M68" s="7">
        <f>IFERROR(IF(E68="Short",-1,1)*(IF(K68&lt;&gt;"",K68,L68)/J68-1),"")</f>
        <v/>
      </c>
      <c r="N68" s="6">
        <f>IFERROR(I68*(IF(K68&lt;&gt;"",K68,L68)-J68),"")</f>
        <v/>
      </c>
      <c r="O68" s="8" t="n">
        <v>0.6</v>
      </c>
      <c r="P68" s="2" t="n"/>
      <c r="Q68"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9">
      <c r="A69" s="2" t="inlineStr">
        <is>
          <t>2026-10-14</t>
        </is>
      </c>
      <c r="B69" s="2" t="inlineStr">
        <is>
          <t>STT</t>
        </is>
      </c>
      <c r="C69" s="2" t="inlineStr">
        <is>
          <t>STT</t>
        </is>
      </c>
      <c r="D69" s="2" t="inlineStr">
        <is>
          <t>position (lifecycle)</t>
        </is>
      </c>
      <c r="E69" s="2" t="inlineStr">
        <is>
          <t>Short</t>
        </is>
      </c>
      <c r="F69" s="2" t="inlineStr">
        <is>
          <t>Closed</t>
        </is>
      </c>
      <c r="G69" s="2" t="inlineStr">
        <is>
          <t>2026-10-15</t>
        </is>
      </c>
      <c r="H69" s="2" t="inlineStr">
        <is>
          <t>2026-10-22</t>
        </is>
      </c>
      <c r="I69" s="4" t="n">
        <v>-14</v>
      </c>
      <c r="J69" s="5" t="n">
        <v>167.637143</v>
      </c>
      <c r="K69" s="5" t="n">
        <v>167.732857</v>
      </c>
      <c r="L69" s="5" t="n">
        <v>168.66</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2026-10-21</t>
        </is>
      </c>
      <c r="B70" s="2" t="inlineStr">
        <is>
          <t>AMD</t>
        </is>
      </c>
      <c r="C70" s="2" t="inlineStr">
        <is>
          <t>AMD</t>
        </is>
      </c>
      <c r="D70" s="2" t="inlineStr">
        <is>
          <t>position (lifecycle)</t>
        </is>
      </c>
      <c r="E70" s="2" t="inlineStr">
        <is>
          <t>Short</t>
        </is>
      </c>
      <c r="F70" s="2" t="inlineStr">
        <is>
          <t>Open</t>
        </is>
      </c>
      <c r="G70" s="2" t="inlineStr">
        <is>
          <t>2026-10-22</t>
        </is>
      </c>
      <c r="H70" s="2" t="inlineStr"/>
      <c r="I70" s="4" t="n">
        <v>-5</v>
      </c>
      <c r="J70" s="5" t="n">
        <v>507.3559999999999</v>
      </c>
      <c r="K70" s="5" t="n"/>
      <c r="L70" s="5" t="n">
        <v>517.58</v>
      </c>
      <c r="M70" s="7">
        <f>IFERROR(IF(E70="Short",-1,1)*(IF(K70&lt;&gt;"",K70,L70)/J70-1),"")</f>
        <v/>
      </c>
      <c r="N70" s="6">
        <f>IFERROR(I70*(IF(K70&lt;&gt;"",K70,L70)-J70),"")</f>
        <v/>
      </c>
      <c r="O70" s="8" t="n">
        <v>0.5</v>
      </c>
      <c r="P70" s="2" t="n"/>
      <c r="Q70"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71">
      <c r="A71" s="2" t="inlineStr">
        <is>
          <t>2026-10-21</t>
        </is>
      </c>
      <c r="B71" s="2" t="inlineStr">
        <is>
          <t>AVGO</t>
        </is>
      </c>
      <c r="C71" s="2" t="inlineStr">
        <is>
          <t>AVGO</t>
        </is>
      </c>
      <c r="D71" s="2" t="inlineStr">
        <is>
          <t>position (lifecycle)</t>
        </is>
      </c>
      <c r="E71" s="2" t="inlineStr">
        <is>
          <t>Short</t>
        </is>
      </c>
      <c r="F71" s="2" t="inlineStr">
        <is>
          <t>Open</t>
        </is>
      </c>
      <c r="G71" s="2" t="inlineStr">
        <is>
          <t>2026-10-22</t>
        </is>
      </c>
      <c r="H71" s="2" t="inlineStr"/>
      <c r="I71" s="4" t="n">
        <v>-7</v>
      </c>
      <c r="J71" s="5" t="n">
        <v>323.371428</v>
      </c>
      <c r="K71" s="5" t="n"/>
      <c r="L71" s="5" t="n">
        <v>323.79</v>
      </c>
      <c r="M71" s="7">
        <f>IFERROR(IF(E71="Short",-1,1)*(IF(K71&lt;&gt;"",K71,L71)/J71-1),"")</f>
        <v/>
      </c>
      <c r="N71" s="6">
        <f>IFERROR(I71*(IF(K71&lt;&gt;"",K71,L71)-J71),"")</f>
        <v/>
      </c>
      <c r="O71" s="8" t="n">
        <v>0.45</v>
      </c>
      <c r="P71" s="2" t="n"/>
      <c r="Q71" s="9" t="inlineStr">
        <is>
          <t>CEO Hock Tan's Oct 12-15 'casino' warning on AI spending hit custom-chip names and still overhangs AVGO, with unresolved AI funding concerns (Anthropic $42B loan, Oracle/SpaceX debt). Fresh VMware wins (NTT DOCOMO Oct 19, FedEx Oct 20) are incremental. Expect modest relative weakness. | horizon 3 days; exit if: Broadcom raises AI revenue guidance or reports accelerating AI chip sales; CEO Hock Tan retracts or clarifies 'casino' warning on AI spending; Anthropic secures $42B loan and AI funding concerns ease</t>
        </is>
      </c>
    </row>
    <row r="72">
      <c r="A72" s="2" t="inlineStr">
        <is>
          <t>2026-10-21</t>
        </is>
      </c>
      <c r="B72" s="2" t="inlineStr">
        <is>
          <t>BA</t>
        </is>
      </c>
      <c r="C72" s="2" t="inlineStr">
        <is>
          <t>BA</t>
        </is>
      </c>
      <c r="D72" s="2" t="inlineStr">
        <is>
          <t>position (lifecycle)</t>
        </is>
      </c>
      <c r="E72" s="2" t="inlineStr">
        <is>
          <t>Long</t>
        </is>
      </c>
      <c r="F72" s="2" t="inlineStr">
        <is>
          <t>Open</t>
        </is>
      </c>
      <c r="G72" s="2" t="inlineStr">
        <is>
          <t>2026-10-22</t>
        </is>
      </c>
      <c r="H72" s="2" t="inlineStr"/>
      <c r="I72" s="4" t="n">
        <v>13</v>
      </c>
      <c r="J72" s="5" t="n">
        <v>187.465385</v>
      </c>
      <c r="K72" s="5" t="n"/>
      <c r="L72" s="5" t="n">
        <v>188.44</v>
      </c>
      <c r="M72" s="7">
        <f>IFERROR(IF(E72="Short",-1,1)*(IF(K72&lt;&gt;"",K72,L72)/J72-1),"")</f>
        <v/>
      </c>
      <c r="N72" s="6">
        <f>IFERROR(I72*(IF(K72&lt;&gt;"",K72,L72)-J72),"")</f>
        <v/>
      </c>
      <c r="O72" s="8" t="n">
        <v>0.55</v>
      </c>
      <c r="P72" s="2" t="n"/>
      <c r="Q72" s="9" t="inlineStr">
        <is>
          <t>FAA certification of 737 MAX 10 on Oct 20-21 is a material positive, unlocking deliveries of 1,555 ordered jets and lifting the orders story to 35% share. GE Aerospace's beat/raise confirms strong demand. But BA reports Q3 on Oct 27, a binary event, and recent PT cuts cap conviction. | horizon 5 days; exit if: FAA suspends or revokes 737 MAX 10 certification; Boeing delays 737 MAX 10 deliveries due to new regulatory or quality issue; Boeing cuts FY guidance or reports major 737 MAX order cancellations</t>
        </is>
      </c>
    </row>
    <row r="73">
      <c r="A73" s="2" t="inlineStr">
        <is>
          <t>2026-10-21</t>
        </is>
      </c>
      <c r="B73" s="2" t="inlineStr">
        <is>
          <t>META</t>
        </is>
      </c>
      <c r="C73" s="2" t="inlineStr">
        <is>
          <t>META</t>
        </is>
      </c>
      <c r="D73" s="2" t="inlineStr">
        <is>
          <t>position (lifecycle)</t>
        </is>
      </c>
      <c r="E73" s="2" t="inlineStr">
        <is>
          <t>Long</t>
        </is>
      </c>
      <c r="F73" s="2" t="inlineStr">
        <is>
          <t>Open</t>
        </is>
      </c>
      <c r="G73" s="2" t="inlineStr">
        <is>
          <t>2026-10-22</t>
        </is>
      </c>
      <c r="H73" s="2" t="inlineStr"/>
      <c r="I73" s="4" t="n">
        <v>7</v>
      </c>
      <c r="J73" s="5" t="n">
        <v>648.394286</v>
      </c>
      <c r="K73" s="5" t="n"/>
      <c r="L73" s="5" t="n">
        <v>645.35</v>
      </c>
      <c r="M73" s="7">
        <f>IFERROR(IF(E73="Short",-1,1)*(IF(K73&lt;&gt;"",K73,L73)/J73-1),"")</f>
        <v/>
      </c>
      <c r="N73" s="6">
        <f>IFERROR(I73*(IF(K73&lt;&gt;"",K73,L73)-J73),"")</f>
        <v/>
      </c>
      <c r="O73" s="8" t="n">
        <v>0.5</v>
      </c>
      <c r="P73" s="2" t="n"/>
      <c r="Q73" s="9" t="inlineStr">
        <is>
          <t>Q3 results (Oct 21) beat expectations and Muse AI traction (10M+ users in 40 days, ChatGPT US installs -25%) is a fresh idiosyncratic positive after a -5.4% week selloff on AI-financing fears. The record $25B New Mexico fine drew no stock reaction, so it is largely priced. Net positive relative setup. | horizon 14 days; exit if: Meta Q3 revenue misses expectations or company cuts FY guidance; Muse AI user growth stalls or ChatGPT US installs rebound; New Mexico imposes additional fines or regulatory action</t>
        </is>
      </c>
    </row>
    <row r="74">
      <c r="A74" s="2" t="inlineStr">
        <is>
          <t>2026-10-07</t>
        </is>
      </c>
      <c r="B74" s="2" t="inlineStr">
        <is>
          <t>MRVL</t>
        </is>
      </c>
      <c r="C74" s="2" t="inlineStr">
        <is>
          <t>MRVL</t>
        </is>
      </c>
      <c r="D74" s="2" t="inlineStr">
        <is>
          <t>position (lifecycle)</t>
        </is>
      </c>
      <c r="E74" s="2" t="inlineStr">
        <is>
          <t>Long</t>
        </is>
      </c>
      <c r="F74" s="2" t="inlineStr">
        <is>
          <t>Open</t>
        </is>
      </c>
      <c r="G74" s="2" t="inlineStr">
        <is>
          <t>2026-10-15</t>
        </is>
      </c>
      <c r="H74" s="2" t="inlineStr"/>
      <c r="I74" s="4" t="n">
        <v>35</v>
      </c>
      <c r="J74" s="5" t="n">
        <v>242.5640032958985</v>
      </c>
      <c r="K74" s="5" t="n"/>
      <c r="L74" s="5" t="n">
        <v>228.905</v>
      </c>
      <c r="M74" s="7">
        <f>IFERROR(IF(E74="Short",-1,1)*(IF(K74&lt;&gt;"",K74,L74)/J74-1),"")</f>
        <v/>
      </c>
      <c r="N74" s="6">
        <f>IFERROR(I74*(IF(K74&lt;&gt;"",K74,L74)-J74),"")</f>
        <v/>
      </c>
      <c r="O74" s="8" t="n">
        <v>0.68</v>
      </c>
      <c r="P74" s="2" t="n"/>
      <c r="Q74"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75">
      <c r="A75" s="2" t="inlineStr">
        <is>
          <t>2026-10-07</t>
        </is>
      </c>
      <c r="B75" s="2" t="inlineStr">
        <is>
          <t>NKE</t>
        </is>
      </c>
      <c r="C75" s="2" t="inlineStr">
        <is>
          <t>NKE</t>
        </is>
      </c>
      <c r="D75" s="2" t="inlineStr">
        <is>
          <t>position (lifecycle)</t>
        </is>
      </c>
      <c r="E75" s="2" t="inlineStr">
        <is>
          <t>Short</t>
        </is>
      </c>
      <c r="F75" s="2" t="inlineStr">
        <is>
          <t>Open</t>
        </is>
      </c>
      <c r="G75" s="2" t="inlineStr">
        <is>
          <t>2026-10-15</t>
        </is>
      </c>
      <c r="H75" s="2" t="inlineStr"/>
      <c r="I75" s="4" t="n">
        <v>-256</v>
      </c>
      <c r="J75" s="5" t="n">
        <v>37.23433549165726</v>
      </c>
      <c r="K75" s="5" t="n"/>
      <c r="L75" s="5" t="n">
        <v>37.365</v>
      </c>
      <c r="M75" s="7">
        <f>IFERROR(IF(E75="Short",-1,1)*(IF(K75&lt;&gt;"",K75,L75)/J75-1),"")</f>
        <v/>
      </c>
      <c r="N75" s="6">
        <f>IFERROR(I75*(IF(K75&lt;&gt;"",K75,L75)-J75),"")</f>
        <v/>
      </c>
      <c r="O75" s="8" t="n">
        <v>0.65</v>
      </c>
      <c r="P75" s="2" t="n"/>
      <c r="Q75"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76">
      <c r="A76" s="2" t="inlineStr">
        <is>
          <t>2026-10-14</t>
        </is>
      </c>
      <c r="B76" s="2" t="inlineStr">
        <is>
          <t>SPY</t>
        </is>
      </c>
      <c r="C76" s="2" t="inlineStr">
        <is>
          <t>SPDR S&amp;P 500 ETF</t>
        </is>
      </c>
      <c r="D76" s="2" t="inlineStr">
        <is>
          <t>beta hedge</t>
        </is>
      </c>
      <c r="E76" s="2" t="inlineStr">
        <is>
          <t>Short</t>
        </is>
      </c>
      <c r="F76" s="2" t="inlineStr">
        <is>
          <t>Open</t>
        </is>
      </c>
      <c r="G76" s="2" t="inlineStr">
        <is>
          <t>2026-10-21</t>
        </is>
      </c>
      <c r="H76" s="2" t="inlineStr"/>
      <c r="I76" s="4" t="n">
        <v>-22</v>
      </c>
      <c r="J76" s="5" t="n">
        <v>768.7913632727273</v>
      </c>
      <c r="K76" s="5" t="n"/>
      <c r="L76" s="5" t="n">
        <v>760.705</v>
      </c>
      <c r="M76" s="7">
        <f>IFERROR(IF(E76="Short",-1,1)*(IF(K76&lt;&gt;"",K76,L76)/J76-1),"")</f>
        <v/>
      </c>
      <c r="N76" s="6">
        <f>IFERROR(I76*(IF(K76&lt;&gt;"",K76,L76)-J76),"")</f>
        <v/>
      </c>
      <c r="O76" s="8" t="n"/>
      <c r="P76" s="2" t="n"/>
      <c r="Q76" s="9" t="inlineStr">
        <is>
          <t>SPY hedge to zero beta</t>
        </is>
      </c>
    </row>
    <row r="77">
      <c r="A77" s="2" t="inlineStr">
        <is>
          <t>2026-10-21</t>
        </is>
      </c>
      <c r="B77" s="2" t="inlineStr">
        <is>
          <t>CRM</t>
        </is>
      </c>
      <c r="C77" s="2" t="inlineStr">
        <is>
          <t>CRM</t>
        </is>
      </c>
      <c r="D77" s="2" t="inlineStr">
        <is>
          <t>position (lifecycle)</t>
        </is>
      </c>
      <c r="E77" s="2" t="inlineStr">
        <is>
          <t>Short</t>
        </is>
      </c>
      <c r="F77" s="2" t="inlineStr">
        <is>
          <t>Open</t>
        </is>
      </c>
      <c r="G77" s="2" t="inlineStr">
        <is>
          <t>2026-10-22</t>
        </is>
      </c>
      <c r="H77" s="2" t="inlineStr"/>
      <c r="I77" s="4" t="n">
        <v>-12</v>
      </c>
      <c r="J77" s="5" t="n">
        <v>250.35</v>
      </c>
      <c r="K77" s="5" t="n"/>
      <c r="L77" s="5" t="n">
        <v>247.78</v>
      </c>
      <c r="M77" s="7">
        <f>IFERROR(IF(E77="Short",-1,1)*(IF(K77&lt;&gt;"",K77,L77)/J77-1),"")</f>
        <v/>
      </c>
      <c r="N77" s="6">
        <f>IFERROR(I77*(IF(K77&lt;&gt;"",K77,L77)-J77),"")</f>
        <v/>
      </c>
      <c r="O77" s="8" t="n">
        <v>0.6</v>
      </c>
      <c r="P77" s="2" t="n"/>
      <c r="Q77"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78">
      <c r="A78" s="2" t="inlineStr">
        <is>
          <t>2026-10-21</t>
        </is>
      </c>
      <c r="B78" s="2" t="inlineStr">
        <is>
          <t>MSFT</t>
        </is>
      </c>
      <c r="C78" s="2" t="inlineStr">
        <is>
          <t>MSFT</t>
        </is>
      </c>
      <c r="D78" s="2" t="inlineStr">
        <is>
          <t>position (lifecycle)</t>
        </is>
      </c>
      <c r="E78" s="2" t="inlineStr">
        <is>
          <t>Short</t>
        </is>
      </c>
      <c r="F78" s="2" t="inlineStr">
        <is>
          <t>Open</t>
        </is>
      </c>
      <c r="G78" s="2" t="inlineStr">
        <is>
          <t>2026-10-22</t>
        </is>
      </c>
      <c r="H78" s="2" t="inlineStr"/>
      <c r="I78" s="4" t="n">
        <v>-5</v>
      </c>
      <c r="J78" s="5" t="n">
        <v>520.91</v>
      </c>
      <c r="K78" s="5" t="n"/>
      <c r="L78" s="5" t="n">
        <v>523.4299999999999</v>
      </c>
      <c r="M78" s="7">
        <f>IFERROR(IF(E78="Short",-1,1)*(IF(K78&lt;&gt;"",K78,L78)/J78-1),"")</f>
        <v/>
      </c>
      <c r="N78" s="6">
        <f>IFERROR(I78*(IF(K78&lt;&gt;"",K78,L78)-J78),"")</f>
        <v/>
      </c>
      <c r="O78" s="8" t="n">
        <v>0.55</v>
      </c>
      <c r="P78" s="2" t="n"/>
      <c r="Q78" s="9" t="inlineStr">
        <is>
          <t>Rising AI capex/debt concerns and MSFT's UK data center exit weigh on sentiment, while bullish earnings previews are already priced near 52-week high. Expect slight underperformance into Oct 28 earnings, with binary event limiting conviction. | horizon 5 days; exit if: Microsoft beats Q1 estimates and raises FY2027 guidance; Microsoft reaffirms or re-enters the UK Nscale data center deal; CoreWeave secures new financing, easing AI capex debt fears</t>
        </is>
      </c>
    </row>
    <row r="79">
      <c r="A79" s="2" t="inlineStr">
        <is>
          <t>2026-10-21</t>
        </is>
      </c>
      <c r="B79" s="2" t="inlineStr">
        <is>
          <t>NFLX</t>
        </is>
      </c>
      <c r="C79" s="2" t="inlineStr">
        <is>
          <t>NFLX</t>
        </is>
      </c>
      <c r="D79" s="2" t="inlineStr">
        <is>
          <t>position (lifecycle)</t>
        </is>
      </c>
      <c r="E79" s="2" t="inlineStr">
        <is>
          <t>Short</t>
        </is>
      </c>
      <c r="F79" s="2" t="inlineStr">
        <is>
          <t>Open</t>
        </is>
      </c>
      <c r="G79" s="2" t="inlineStr">
        <is>
          <t>2026-10-22</t>
        </is>
      </c>
      <c r="H79" s="2" t="inlineStr"/>
      <c r="I79" s="4" t="n">
        <v>-42</v>
      </c>
      <c r="J79" s="5" t="n">
        <v>67.04000000000001</v>
      </c>
      <c r="K79" s="5" t="n"/>
      <c r="L79" s="5" t="n">
        <v>66.05500000000001</v>
      </c>
      <c r="M79" s="7">
        <f>IFERROR(IF(E79="Short",-1,1)*(IF(K79&lt;&gt;"",K79,L79)/J79-1),"")</f>
        <v/>
      </c>
      <c r="N79" s="6">
        <f>IFERROR(I79*(IF(K79&lt;&gt;"",K79,L79)-J79),"")</f>
        <v/>
      </c>
      <c r="O79" s="8" t="n">
        <v>0.58</v>
      </c>
      <c r="P79" s="2" t="n"/>
      <c r="Q79" s="9" t="inlineStr">
        <is>
          <t>Oct 20 Q3 beat was overwhelmed by a trimmed 2026 ad-revenue outlook ($2.7B), FCF cut to ~$12B, and weak Q4 guide — fourth straight quarter of slowing growth. Post-earnings drift, likely analyst cuts, plus the Oct 14-16 layoffs and content-chief exit keep pressure next week. Deeply oversold already, so sizing modest. | horizon 14 days; exit if: Netflix raises its full-year revenue or ad-revenue guidance; Netflix reports accelerating subscriber growth or strong Q4 guidance; Netflix announces a major content hit or partnership that boosts growth outlook</t>
        </is>
      </c>
    </row>
    <row r="80">
      <c r="A80" s="2" t="inlineStr">
        <is>
          <t>2026-10-21</t>
        </is>
      </c>
      <c r="B80" s="2" t="inlineStr">
        <is>
          <t>SMCI</t>
        </is>
      </c>
      <c r="C80" s="2" t="inlineStr">
        <is>
          <t>SMCI</t>
        </is>
      </c>
      <c r="D80" s="2" t="inlineStr">
        <is>
          <t>position (lifecycle)</t>
        </is>
      </c>
      <c r="E80" s="2" t="inlineStr">
        <is>
          <t>Long</t>
        </is>
      </c>
      <c r="F80" s="2" t="inlineStr">
        <is>
          <t>Open</t>
        </is>
      </c>
      <c r="G80" s="2" t="inlineStr">
        <is>
          <t>2026-10-22</t>
        </is>
      </c>
      <c r="H80" s="2" t="inlineStr"/>
      <c r="I80" s="4" t="n">
        <v>173</v>
      </c>
      <c r="J80" s="5" t="n">
        <v>33.72</v>
      </c>
      <c r="K80" s="5" t="n"/>
      <c r="L80" s="5" t="n">
        <v>32.985</v>
      </c>
      <c r="M80" s="7">
        <f>IFERROR(IF(E80="Short",-1,1)*(IF(K80&lt;&gt;"",K80,L80)/J80-1),"")</f>
        <v/>
      </c>
      <c r="N80" s="6">
        <f>IFERROR(I80*(IF(K80&lt;&gt;"",K80,L80)-J80),"")</f>
        <v/>
      </c>
      <c r="O80" s="8" t="n">
        <v>0.65</v>
      </c>
      <c r="P80" s="2" t="n"/>
      <c r="Q80" s="9" t="inlineStr">
        <is>
          <t>Oct 20-21 preliminary Q1 FY27 revenue outlook raised to $18.5-19.5B from $14.5-15.5B, with higher gross margins and a record $60B backlog. Despite an 11% surge, the stock is still down 14% in a month and 35% below its 52-week high, so the positive guidance is not fully priced. New CFO adds confidence. | horizon 13 days; exit if: Company cuts or withdraws its raised FY27 revenue outlook; Backlog falls below $60B or major orders are cancelled; Gross margin guidance is reduced or new CFO departs</t>
        </is>
      </c>
    </row>
    <row r="81">
      <c r="A81" s="2" t="inlineStr">
        <is>
          <t>2026-10-21</t>
        </is>
      </c>
      <c r="B81" s="2" t="inlineStr">
        <is>
          <t>TSLA</t>
        </is>
      </c>
      <c r="C81" s="2" t="inlineStr">
        <is>
          <t>TSLA</t>
        </is>
      </c>
      <c r="D81" s="2" t="inlineStr">
        <is>
          <t>position (lifecycle)</t>
        </is>
      </c>
      <c r="E81" s="2" t="inlineStr">
        <is>
          <t>Long</t>
        </is>
      </c>
      <c r="F81" s="2" t="inlineStr">
        <is>
          <t>Open</t>
        </is>
      </c>
      <c r="G81" s="2" t="inlineStr">
        <is>
          <t>2026-10-22</t>
        </is>
      </c>
      <c r="H81" s="2" t="inlineStr"/>
      <c r="I81" s="4" t="n">
        <v>13</v>
      </c>
      <c r="J81" s="5" t="n">
        <v>375.053077</v>
      </c>
      <c r="K81" s="5" t="n"/>
      <c r="L81" s="5" t="n">
        <v>372.07</v>
      </c>
      <c r="M81" s="7">
        <f>IFERROR(IF(E81="Short",-1,1)*(IF(K81&lt;&gt;"",K81,L81)/J81-1),"")</f>
        <v/>
      </c>
      <c r="N81" s="6">
        <f>IFERROR(I81*(IF(K81&lt;&gt;"",K81,L81)-J81),"")</f>
        <v/>
      </c>
      <c r="O81" s="8" t="n">
        <v>0.55</v>
      </c>
      <c r="P81" s="2" t="n"/>
      <c r="Q81" s="9" t="inlineStr">
        <is>
          <t>Tesla-SpaceX merger is a new, sharply rising story: Musk confirmed on the Oct 20 SpaceX earnings call that both boards formed special committees and called a tie-up 'a good idea'; Barclays sees an announcement before December's AGM. SpaceX's Q3 beat and soaring valuation amplify the read-through, outweighing soft Q3 auto profits. | horizon 4 days; exit if: Tesla or SpaceX board denies merger talks or disbands special committee; Merger exploration formally terminated or abandoned; Musk walks back merger comments, says tie-up not planned</t>
        </is>
      </c>
    </row>
    <row r="82">
      <c r="A82" s="2" t="inlineStr">
        <is>
          <t>2026-10-21</t>
        </is>
      </c>
      <c r="B82" s="2" t="inlineStr">
        <is>
          <t>AAPL</t>
        </is>
      </c>
      <c r="C82" s="2" t="inlineStr">
        <is>
          <t>AAPL</t>
        </is>
      </c>
      <c r="D82" s="2" t="inlineStr">
        <is>
          <t>position (lifecycle)</t>
        </is>
      </c>
      <c r="E82" s="2" t="inlineStr">
        <is>
          <t>Short</t>
        </is>
      </c>
      <c r="F82" s="2" t="inlineStr">
        <is>
          <t>Open</t>
        </is>
      </c>
      <c r="G82" s="2" t="inlineStr">
        <is>
          <t>2026-10-22</t>
        </is>
      </c>
      <c r="H82" s="2" t="inlineStr"/>
      <c r="I82" s="4" t="n">
        <v>-7</v>
      </c>
      <c r="J82" s="5" t="n">
        <v>348.188571</v>
      </c>
      <c r="K82" s="5" t="n"/>
      <c r="L82" s="5" t="n">
        <v>346.625</v>
      </c>
      <c r="M82" s="7">
        <f>IFERROR(IF(E82="Short",-1,1)*(IF(K82&lt;&gt;"",K82,L82)/J82-1),"")</f>
        <v/>
      </c>
      <c r="N82" s="6">
        <f>IFERROR(I82*(IF(K82&lt;&gt;"",K82,L82)-J82),"")</f>
        <v/>
      </c>
      <c r="O82" s="8" t="n">
        <v>0.5</v>
      </c>
      <c r="P82" s="2" t="n"/>
      <c r="Q82" s="9" t="inlineStr">
        <is>
          <t>Foldable iPhone Duo preorder frenzy (Oct 16, backordered to 2027) is a positive, but core iPhone 18 demand weakness is intensifying with fresh downgrades (Loop Capital Oct 20, UBS, Jefferies, KeyBanc) and OpenAI trade-secret counterclaims. At an all-time high on stretched valuation, this week's news tilts modestly negative. | horizon 8 days; exit if: Apple reports stronger-than-expected iPhone 18 demand or raises forward guidance; Analysts upgrade Apple, citing improving iPhone demand and attractive valuation; OpenAI trade-secret claims dismissed or settled without material Apple liability</t>
        </is>
      </c>
    </row>
    <row r="83">
      <c r="A83" s="2" t="inlineStr">
        <is>
          <t>2026-10-21</t>
        </is>
      </c>
      <c r="B83" s="2" t="inlineStr">
        <is>
          <t>CMG</t>
        </is>
      </c>
      <c r="C83" s="2" t="inlineStr">
        <is>
          <t>CMG</t>
        </is>
      </c>
      <c r="D83" s="2" t="inlineStr">
        <is>
          <t>position (lifecycle)</t>
        </is>
      </c>
      <c r="E83" s="2" t="inlineStr">
        <is>
          <t>Short</t>
        </is>
      </c>
      <c r="F83" s="2" t="inlineStr">
        <is>
          <t>Open</t>
        </is>
      </c>
      <c r="G83" s="2" t="inlineStr">
        <is>
          <t>2026-10-22</t>
        </is>
      </c>
      <c r="H83" s="2" t="inlineStr"/>
      <c r="I83" s="4" t="n">
        <v>-87</v>
      </c>
      <c r="J83" s="5" t="n">
        <v>28.07</v>
      </c>
      <c r="K83" s="5" t="n"/>
      <c r="L83" s="5" t="n">
        <v>27.455</v>
      </c>
      <c r="M83" s="7">
        <f>IFERROR(IF(E83="Short",-1,1)*(IF(K83&lt;&gt;"",K83,L83)/J83-1),"")</f>
        <v/>
      </c>
      <c r="N83" s="6">
        <f>IFERROR(I83*(IF(K83&lt;&gt;"",K83,L83)-J83),"")</f>
        <v/>
      </c>
      <c r="O83" s="8" t="n">
        <v>0.5</v>
      </c>
      <c r="P83" s="2" t="n"/>
      <c r="Q83" s="9" t="inlineStr">
        <is>
          <t>Pre-earnings setup negative: TD Cowen cut to Hold (PT $44→$32) Oct 21 amid broad price-target cuts; Q3 on Oct 28 expected flat EPS with margin and traffic pressure; debunked Starbucks bid removed support. Already -7.9% in a week and earnings is binary, so edge is modest. | horizon 5 days; exit if: Chipotle reports Q3 EPS above consensus and raises FY guidance; Chipotle announces a new takeover bid or strategic investment; Chipotle Q3 same-store sales turn positive with margin expansion</t>
        </is>
      </c>
    </row>
    <row r="84">
      <c r="A84" s="2" t="inlineStr">
        <is>
          <t>2026-10-21</t>
        </is>
      </c>
      <c r="B84" s="2" t="inlineStr">
        <is>
          <t>CSX</t>
        </is>
      </c>
      <c r="C84" s="2" t="inlineStr">
        <is>
          <t>CSX</t>
        </is>
      </c>
      <c r="D84" s="2" t="inlineStr">
        <is>
          <t>position (lifecycle)</t>
        </is>
      </c>
      <c r="E84" s="2" t="inlineStr">
        <is>
          <t>Long</t>
        </is>
      </c>
      <c r="F84" s="2" t="inlineStr">
        <is>
          <t>Open</t>
        </is>
      </c>
      <c r="G84" s="2" t="inlineStr">
        <is>
          <t>2026-10-22</t>
        </is>
      </c>
      <c r="H84" s="2" t="inlineStr"/>
      <c r="I84" s="4" t="n">
        <v>114</v>
      </c>
      <c r="J84" s="5" t="n">
        <v>51.72</v>
      </c>
      <c r="K84" s="5" t="n"/>
      <c r="L84" s="5" t="n">
        <v>51.135</v>
      </c>
      <c r="M84" s="7">
        <f>IFERROR(IF(E84="Short",-1,1)*(IF(K84&lt;&gt;"",K84,L84)/J84-1),"")</f>
        <v/>
      </c>
      <c r="N84" s="6">
        <f>IFERROR(I84*(IF(K84&lt;&gt;"",K84,L84)-J84),"")</f>
        <v/>
      </c>
      <c r="O84" s="8" t="n">
        <v>0.66</v>
      </c>
      <c r="P84" s="2" t="n"/>
      <c r="Q84" s="9" t="inlineStr">
        <is>
          <t>CSX reported Q3 2026 on Oct 21 with a clear beat: record $4.02B revenue (+12%), EPS $0.57 (+54%, +9.6% surprise) and operating margin up 880bps to 39.1%. Stock was flat into the print (+0.25% 1w), so the news is not yet priced. Expect a positive reaction next week. | horizon 14 days; exit if: CSX issues weak Q4 or FY guidance; CSX reports operating margin contraction or volume decline; Peer railroads UNP/NSC report disappointing earnings and negative sector outlook</t>
        </is>
      </c>
    </row>
    <row r="85">
      <c r="A85" s="2" t="inlineStr">
        <is>
          <t>2026-10-21</t>
        </is>
      </c>
      <c r="B85" s="2" t="inlineStr">
        <is>
          <t>HAS</t>
        </is>
      </c>
      <c r="C85" s="2" t="inlineStr">
        <is>
          <t>HAS</t>
        </is>
      </c>
      <c r="D85" s="2" t="inlineStr">
        <is>
          <t>position (lifecycle)</t>
        </is>
      </c>
      <c r="E85" s="2" t="inlineStr">
        <is>
          <t>Long</t>
        </is>
      </c>
      <c r="F85" s="2" t="inlineStr">
        <is>
          <t>Open</t>
        </is>
      </c>
      <c r="G85" s="2" t="inlineStr">
        <is>
          <t>2026-10-22</t>
        </is>
      </c>
      <c r="H85" s="2" t="inlineStr"/>
      <c r="I85" s="4" t="n">
        <v>21</v>
      </c>
      <c r="J85" s="5" t="n">
        <v>117.22</v>
      </c>
      <c r="K85" s="5" t="n"/>
      <c r="L85" s="5" t="n">
        <v>117.34</v>
      </c>
      <c r="M85" s="7">
        <f>IFERROR(IF(E85="Short",-1,1)*(IF(K85&lt;&gt;"",K85,L85)/J85-1),"")</f>
        <v/>
      </c>
      <c r="N85" s="6">
        <f>IFERROR(I85*(IF(K85&lt;&gt;"",K85,L85)-J85),"")</f>
        <v/>
      </c>
      <c r="O85" s="8" t="n">
        <v>0.55</v>
      </c>
      <c r="P85" s="2" t="n"/>
      <c r="Q85" s="9" t="inlineStr">
        <is>
          <t>Q3 beat (Oct 20) with Magic &gt;$600M, raised FY26 outlook, doubled buyback; new Magic story dominates coverage. Positive but stock already +19% in week at 52w high, so edge is modest. | horizon 13 days; exit if: Hasbro cuts or withdraws its raised FY2026 sales guidance; Magic: The Gathering quarterly revenue falls below $600M or declines year-over-year; Hasbro reduces, suspends, or abandons its doubled buyback target</t>
        </is>
      </c>
    </row>
    <row r="86">
      <c r="A86" s="2" t="inlineStr">
        <is>
          <t>2026-10-21</t>
        </is>
      </c>
      <c r="B86" s="2" t="inlineStr">
        <is>
          <t>LRCX</t>
        </is>
      </c>
      <c r="C86" s="2" t="inlineStr">
        <is>
          <t>LRCX</t>
        </is>
      </c>
      <c r="D86" s="2" t="inlineStr">
        <is>
          <t>position (lifecycle)</t>
        </is>
      </c>
      <c r="E86" s="2" t="inlineStr">
        <is>
          <t>Short</t>
        </is>
      </c>
      <c r="F86" s="2" t="inlineStr">
        <is>
          <t>Open</t>
        </is>
      </c>
      <c r="G86" s="2" t="inlineStr">
        <is>
          <t>2026-10-22</t>
        </is>
      </c>
      <c r="H86" s="2" t="inlineStr"/>
      <c r="I86" s="4" t="n">
        <v>-13</v>
      </c>
      <c r="J86" s="5" t="n">
        <v>230.03</v>
      </c>
      <c r="K86" s="5" t="n"/>
      <c r="L86" s="5" t="n">
        <v>229.98</v>
      </c>
      <c r="M86" s="7">
        <f>IFERROR(IF(E86="Short",-1,1)*(IF(K86&lt;&gt;"",K86,L86)/J86-1),"")</f>
        <v/>
      </c>
      <c r="N86" s="6">
        <f>IFERROR(I86*(IF(K86&lt;&gt;"",K86,L86)-J86),"")</f>
        <v/>
      </c>
      <c r="O86" s="8" t="n">
        <v>0.62</v>
      </c>
      <c r="P86" s="2" t="n"/>
      <c r="Q86" s="9" t="inlineStr">
        <is>
          <t>LRCX's Oct 21 fiscal Q1 beat but Q2 guidance only matched, and the outlook 'failed to impress'—shares fell 6% after hours, a fresh, stock-specific negative not yet in the close. With the AI chip selloff intensifying (SOX 8-9 straight down days, chip-equipment historic losing streaks), expect continued relative weakness next week. | horizon 14 days; exit if: Lam Research raises Q2 guidance above consensus; AI chip selloff reverses; SOX index posts multiple up days; Analysts upgrade LRCX to Buy on improved outlook</t>
        </is>
      </c>
    </row>
    <row r="87">
      <c r="A87" s="2" t="inlineStr">
        <is>
          <t>2026-10-21</t>
        </is>
      </c>
      <c r="B87" s="2" t="inlineStr">
        <is>
          <t>MMM</t>
        </is>
      </c>
      <c r="C87" s="2" t="inlineStr">
        <is>
          <t>MMM</t>
        </is>
      </c>
      <c r="D87" s="2" t="inlineStr">
        <is>
          <t>position (lifecycle)</t>
        </is>
      </c>
      <c r="E87" s="2" t="inlineStr">
        <is>
          <t>Long</t>
        </is>
      </c>
      <c r="F87" s="2" t="inlineStr">
        <is>
          <t>Open</t>
        </is>
      </c>
      <c r="G87" s="2" t="inlineStr">
        <is>
          <t>2026-10-22</t>
        </is>
      </c>
      <c r="H87" s="2" t="inlineStr"/>
      <c r="I87" s="4" t="n">
        <v>15</v>
      </c>
      <c r="J87" s="5" t="n">
        <v>175.868</v>
      </c>
      <c r="K87" s="5" t="n"/>
      <c r="L87" s="5" t="n">
        <v>174.26</v>
      </c>
      <c r="M87" s="7">
        <f>IFERROR(IF(E87="Short",-1,1)*(IF(K87&lt;&gt;"",K87,L87)/J87-1),"")</f>
        <v/>
      </c>
      <c r="N87" s="6">
        <f>IFERROR(I87*(IF(K87&lt;&gt;"",K87,L87)-J87),"")</f>
        <v/>
      </c>
      <c r="O87" s="8" t="n">
        <v>0.6</v>
      </c>
      <c r="P87" s="2" t="n"/>
      <c r="Q87" s="9" t="inlineStr">
        <is>
          <t>Oct 19 AWS deal (warrant tied to $6B purchases) and Oct 20 Q3 beat/raised FY guidance are material positives. Stock already jumped 6.25% in 1w, so much is priced; still, data-center momentum and analyst follow-ups can support relative outperformance next week. | horizon 3 days; exit if: 3M announces termination or material reduction of AWS data center partnership; 3M cuts FY2026 EPS guidance below prior range; RBC downgrades 3M or withdraws data-center growth thesis</t>
        </is>
      </c>
    </row>
    <row r="88">
      <c r="A88" s="2" t="inlineStr">
        <is>
          <t>2026-10-21</t>
        </is>
      </c>
      <c r="B88" s="2" t="inlineStr">
        <is>
          <t>ROL</t>
        </is>
      </c>
      <c r="C88" s="2" t="inlineStr">
        <is>
          <t>ROL</t>
        </is>
      </c>
      <c r="D88" s="2" t="inlineStr">
        <is>
          <t>position (lifecycle)</t>
        </is>
      </c>
      <c r="E88" s="2" t="inlineStr">
        <is>
          <t>Short</t>
        </is>
      </c>
      <c r="F88" s="2" t="inlineStr">
        <is>
          <t>Open</t>
        </is>
      </c>
      <c r="G88" s="2" t="inlineStr">
        <is>
          <t>2026-10-22</t>
        </is>
      </c>
      <c r="H88" s="2" t="inlineStr"/>
      <c r="I88" s="4" t="n">
        <v>-199</v>
      </c>
      <c r="J88" s="5" t="n">
        <v>35.28</v>
      </c>
      <c r="K88" s="5" t="n"/>
      <c r="L88" s="5" t="n">
        <v>34.54</v>
      </c>
      <c r="M88" s="7">
        <f>IFERROR(IF(E88="Short",-1,1)*(IF(K88&lt;&gt;"",K88,L88)/J88-1),"")</f>
        <v/>
      </c>
      <c r="N88" s="6">
        <f>IFERROR(I88*(IF(K88&lt;&gt;"",K88,L88)-J88),"")</f>
        <v/>
      </c>
      <c r="O88" s="8" t="n">
        <v>0.72</v>
      </c>
      <c r="P88" s="2" t="n"/>
      <c r="Q88" s="9" t="inlineStr">
        <is>
          <t>Q3 2026 results (Oct 21) missed revenue and EPS, with sales up only 6.2% and the stock down 7%. This confirms the new 'earnings misses' narrative and follows Oct 19 price-target cuts. The dividend hike is a minor offset; fresh miss should pressure ROL next week versus peers. | horizon 14 days; exit if: Rollins reports better-than-expected revenue and EPS in Q4 2026; Rollins raises full-year 2026 revenue and EPS guidance; Analyst upgrades Rollins to Buy or Overweight</t>
        </is>
      </c>
    </row>
    <row r="89">
      <c r="A89" s="2" t="inlineStr">
        <is>
          <t>2026-10-21</t>
        </is>
      </c>
      <c r="B89" s="2" t="inlineStr">
        <is>
          <t>WMT</t>
        </is>
      </c>
      <c r="C89" s="2" t="inlineStr">
        <is>
          <t>WMT</t>
        </is>
      </c>
      <c r="D89" s="2" t="inlineStr">
        <is>
          <t>position (lifecycle)</t>
        </is>
      </c>
      <c r="E89" s="2" t="inlineStr">
        <is>
          <t>Long</t>
        </is>
      </c>
      <c r="F89" s="2" t="inlineStr">
        <is>
          <t>Open</t>
        </is>
      </c>
      <c r="G89" s="2" t="inlineStr">
        <is>
          <t>2026-10-22</t>
        </is>
      </c>
      <c r="H89" s="2" t="inlineStr"/>
      <c r="I89" s="4" t="n">
        <v>24</v>
      </c>
      <c r="J89" s="5" t="n">
        <v>121.07</v>
      </c>
      <c r="K89" s="5" t="n"/>
      <c r="L89" s="5" t="n">
        <v>119.375</v>
      </c>
      <c r="M89" s="7">
        <f>IFERROR(IF(E89="Short",-1,1)*(IF(K89&lt;&gt;"",K89,L89)/J89-1),"")</f>
        <v/>
      </c>
      <c r="N89" s="6">
        <f>IFERROR(I89*(IF(K89&lt;&gt;"",K89,L89)-J89),"")</f>
        <v/>
      </c>
      <c r="O89" s="8" t="n">
        <v>0.65</v>
      </c>
      <c r="P89" s="2" t="n"/>
      <c r="Q89" s="9" t="inlineStr">
        <is>
          <t>Walmart's new $120 Walmart+/Sam's Club membership bundle (Oct 20) and restaurant delivery expansion drive growth, while Kroger's job cuts signal share gains. Deutsche Bank upgrade (Oct 15) adds sentiment support, though valuation debate limits upside. | horizon 3 days; exit if: Walmart discontinues or withdraws the $120 Walmart+/Sam's Club membership bundle; Sam's Club exits the joint membership bundle; Deutsche Bank downgrades Walmart or removes its Buy rating</t>
        </is>
      </c>
    </row>
    <row r="90">
      <c r="A90" s="2" t="inlineStr">
        <is>
          <t>2026-10-21</t>
        </is>
      </c>
      <c r="B90" s="2" t="inlineStr">
        <is>
          <t>XOM</t>
        </is>
      </c>
      <c r="C90" s="2" t="inlineStr">
        <is>
          <t>XOM</t>
        </is>
      </c>
      <c r="D90" s="2" t="inlineStr">
        <is>
          <t>position (lifecycle)</t>
        </is>
      </c>
      <c r="E90" s="2" t="inlineStr">
        <is>
          <t>Long</t>
        </is>
      </c>
      <c r="F90" s="2" t="inlineStr">
        <is>
          <t>Open</t>
        </is>
      </c>
      <c r="G90" s="2" t="inlineStr">
        <is>
          <t>2026-10-22</t>
        </is>
      </c>
      <c r="H90" s="2" t="inlineStr"/>
      <c r="I90" s="4" t="n">
        <v>14</v>
      </c>
      <c r="J90" s="5" t="n">
        <v>177.92</v>
      </c>
      <c r="K90" s="5" t="n"/>
      <c r="L90" s="5" t="n">
        <v>183.04</v>
      </c>
      <c r="M90" s="7">
        <f>IFERROR(IF(E90="Short",-1,1)*(IF(K90&lt;&gt;"",K90,L90)/J90-1),"")</f>
        <v/>
      </c>
      <c r="N90" s="6">
        <f>IFERROR(I90*(IF(K90&lt;&gt;"",K90,L90)-J90),"")</f>
        <v/>
      </c>
      <c r="O90" s="8" t="n">
        <v>0.55</v>
      </c>
      <c r="P90" s="2" t="n"/>
      <c r="Q90" s="9" t="inlineStr">
        <is>
          <t>Rising 'Iran War Oil Profits' story (share 9%-&gt;20%) with fresh US-Israel threats pushing Brent above $110 and XOM to 52-week highs on Oct 20. Genuine positive catalyst, but largely priced after +10% month and 0.5% off highs; windfall-tax chatter caps upside. | horizon 3 days; exit if: US-Israel tensions with Iran de-escalate and Brent crude falls below $100; US Congress passes a windfall tax on oil company profits; ExxonMobil issues a profit warning or cuts guidance</t>
        </is>
      </c>
    </row>
  </sheetData>
  <autoFilter ref="A1:Q9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3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row r="107">
      <c r="A107" s="2" t="inlineStr">
        <is>
          <t>2026-10-21</t>
        </is>
      </c>
      <c r="B107" s="2" t="inlineStr">
        <is>
          <t>2026-10-22</t>
        </is>
      </c>
      <c r="C107" s="2" t="inlineStr">
        <is>
          <t>AAPL</t>
        </is>
      </c>
      <c r="D107" s="2" t="inlineStr">
        <is>
          <t>rebalance</t>
        </is>
      </c>
      <c r="E107" s="2" t="inlineStr">
        <is>
          <t>sell</t>
        </is>
      </c>
      <c r="F107" s="10" t="n">
        <v>7</v>
      </c>
      <c r="G107" s="10" t="n">
        <v>7</v>
      </c>
      <c r="H107" s="2" t="inlineStr">
        <is>
          <t>market, last minute before the close (lifecycle)</t>
        </is>
      </c>
      <c r="I107" s="5" t="n">
        <v>347.94</v>
      </c>
      <c r="J107" s="2" t="inlineStr">
        <is>
          <t>filled</t>
        </is>
      </c>
      <c r="K107" s="5" t="n">
        <v>348.188571</v>
      </c>
      <c r="L107" s="5" t="n"/>
      <c r="M107" s="11" t="n"/>
      <c r="N107" s="10">
        <f>IFERROR(G107*IF(K107&lt;&gt;"",K107,I107),"")</f>
        <v/>
      </c>
      <c r="O107" s="2" t="inlineStr">
        <is>
          <t>fund-lc-2026-10-22-AAPL-rebalance</t>
        </is>
      </c>
    </row>
    <row r="108">
      <c r="A108" s="2" t="inlineStr">
        <is>
          <t>2026-10-21</t>
        </is>
      </c>
      <c r="B108" s="2" t="inlineStr">
        <is>
          <t>2026-10-22</t>
        </is>
      </c>
      <c r="C108" s="2" t="inlineStr">
        <is>
          <t>AMD</t>
        </is>
      </c>
      <c r="D108" s="2" t="inlineStr">
        <is>
          <t>flatten</t>
        </is>
      </c>
      <c r="E108" s="2" t="inlineStr">
        <is>
          <t>sell</t>
        </is>
      </c>
      <c r="F108" s="10" t="n">
        <v>6</v>
      </c>
      <c r="G108" s="10" t="n">
        <v>6</v>
      </c>
      <c r="H108" s="2" t="inlineStr">
        <is>
          <t>market, last minute before the close (lifecycle)</t>
        </is>
      </c>
      <c r="I108" s="5" t="n">
        <v>507.93</v>
      </c>
      <c r="J108" s="2" t="inlineStr">
        <is>
          <t>filled</t>
        </is>
      </c>
      <c r="K108" s="5" t="n">
        <v>508.143333</v>
      </c>
      <c r="L108" s="5" t="n"/>
      <c r="M108" s="11" t="n"/>
      <c r="N108" s="10">
        <f>IFERROR(G108*IF(K108&lt;&gt;"",K108,I108),"")</f>
        <v/>
      </c>
      <c r="O108" s="2" t="inlineStr">
        <is>
          <t>fund-lc-2026-10-22-AMD-flatten</t>
        </is>
      </c>
    </row>
    <row r="109">
      <c r="A109" s="2" t="inlineStr">
        <is>
          <t>2026-10-21</t>
        </is>
      </c>
      <c r="B109" s="2" t="inlineStr">
        <is>
          <t>2026-10-22</t>
        </is>
      </c>
      <c r="C109" s="2" t="inlineStr">
        <is>
          <t>AMD</t>
        </is>
      </c>
      <c r="D109" s="2" t="inlineStr">
        <is>
          <t>open</t>
        </is>
      </c>
      <c r="E109" s="2" t="inlineStr">
        <is>
          <t>sell</t>
        </is>
      </c>
      <c r="F109" s="10" t="n">
        <v>5</v>
      </c>
      <c r="G109" s="10" t="n">
        <v>5</v>
      </c>
      <c r="H109" s="2" t="inlineStr">
        <is>
          <t>market, last minute before the close (lifecycle)</t>
        </is>
      </c>
      <c r="I109" s="5" t="n">
        <v>507.93</v>
      </c>
      <c r="J109" s="2" t="inlineStr">
        <is>
          <t>filled</t>
        </is>
      </c>
      <c r="K109" s="5" t="n">
        <v>507.3559999999999</v>
      </c>
      <c r="L109" s="5" t="n"/>
      <c r="M109" s="11" t="n"/>
      <c r="N109" s="10">
        <f>IFERROR(G109*IF(K109&lt;&gt;"",K109,I109),"")</f>
        <v/>
      </c>
      <c r="O109" s="2" t="inlineStr">
        <is>
          <t>fund-lc-2026-10-22-AMD-open</t>
        </is>
      </c>
    </row>
    <row r="110">
      <c r="A110" s="2" t="inlineStr">
        <is>
          <t>2026-10-21</t>
        </is>
      </c>
      <c r="B110" s="2" t="inlineStr">
        <is>
          <t>2026-10-22</t>
        </is>
      </c>
      <c r="C110" s="2" t="inlineStr">
        <is>
          <t>AVGO</t>
        </is>
      </c>
      <c r="D110" s="2" t="inlineStr">
        <is>
          <t>rebalance</t>
        </is>
      </c>
      <c r="E110" s="2" t="inlineStr">
        <is>
          <t>sell</t>
        </is>
      </c>
      <c r="F110" s="10" t="n">
        <v>7</v>
      </c>
      <c r="G110" s="10" t="n">
        <v>7</v>
      </c>
      <c r="H110" s="2" t="inlineStr">
        <is>
          <t>market, last minute before the close (lifecycle)</t>
        </is>
      </c>
      <c r="I110" s="5" t="n">
        <v>323.315</v>
      </c>
      <c r="J110" s="2" t="inlineStr">
        <is>
          <t>filled</t>
        </is>
      </c>
      <c r="K110" s="5" t="n">
        <v>323.371428</v>
      </c>
      <c r="L110" s="5" t="n"/>
      <c r="M110" s="11" t="n"/>
      <c r="N110" s="10">
        <f>IFERROR(G110*IF(K110&lt;&gt;"",K110,I110),"")</f>
        <v/>
      </c>
      <c r="O110" s="2" t="inlineStr">
        <is>
          <t>fund-lc-2026-10-22-AVGO-rebalance</t>
        </is>
      </c>
    </row>
    <row r="111">
      <c r="A111" s="2" t="inlineStr">
        <is>
          <t>2026-10-21</t>
        </is>
      </c>
      <c r="B111" s="2" t="inlineStr">
        <is>
          <t>2026-10-22</t>
        </is>
      </c>
      <c r="C111" s="2" t="inlineStr">
        <is>
          <t>BA</t>
        </is>
      </c>
      <c r="D111" s="2" t="inlineStr">
        <is>
          <t>rebalance</t>
        </is>
      </c>
      <c r="E111" s="2" t="inlineStr">
        <is>
          <t>buy</t>
        </is>
      </c>
      <c r="F111" s="10" t="n">
        <v>13</v>
      </c>
      <c r="G111" s="10" t="n">
        <v>13</v>
      </c>
      <c r="H111" s="2" t="inlineStr">
        <is>
          <t>market, last minute before the close (lifecycle)</t>
        </is>
      </c>
      <c r="I111" s="5" t="n">
        <v>187.61</v>
      </c>
      <c r="J111" s="2" t="inlineStr">
        <is>
          <t>filled</t>
        </is>
      </c>
      <c r="K111" s="5" t="n">
        <v>187.465385</v>
      </c>
      <c r="L111" s="5" t="n"/>
      <c r="M111" s="11" t="n"/>
      <c r="N111" s="10">
        <f>IFERROR(G111*IF(K111&lt;&gt;"",K111,I111),"")</f>
        <v/>
      </c>
      <c r="O111" s="2" t="inlineStr">
        <is>
          <t>fund-lc-2026-10-22-BA-rebalance</t>
        </is>
      </c>
    </row>
    <row r="112">
      <c r="A112" s="2" t="inlineStr">
        <is>
          <t>2026-10-21</t>
        </is>
      </c>
      <c r="B112" s="2" t="inlineStr">
        <is>
          <t>2026-10-22</t>
        </is>
      </c>
      <c r="C112" s="2" t="inlineStr">
        <is>
          <t>BAC</t>
        </is>
      </c>
      <c r="D112" s="2" t="inlineStr">
        <is>
          <t>close</t>
        </is>
      </c>
      <c r="E112" s="2" t="inlineStr">
        <is>
          <t>buy</t>
        </is>
      </c>
      <c r="F112" s="10" t="n">
        <v>68</v>
      </c>
      <c r="G112" s="10" t="n">
        <v>68</v>
      </c>
      <c r="H112" s="2" t="inlineStr">
        <is>
          <t>market, last minute before the close (lifecycle)</t>
        </is>
      </c>
      <c r="I112" s="5" t="n">
        <v>51.035</v>
      </c>
      <c r="J112" s="2" t="inlineStr">
        <is>
          <t>filled</t>
        </is>
      </c>
      <c r="K112" s="5" t="n">
        <v>51.03</v>
      </c>
      <c r="L112" s="5" t="n"/>
      <c r="M112" s="11" t="n"/>
      <c r="N112" s="10">
        <f>IFERROR(G112*IF(K112&lt;&gt;"",K112,I112),"")</f>
        <v/>
      </c>
      <c r="O112" s="2" t="inlineStr">
        <is>
          <t>fund-lc-2026-10-22-BAC-close</t>
        </is>
      </c>
    </row>
    <row r="113">
      <c r="A113" s="2" t="inlineStr">
        <is>
          <t>2026-10-21</t>
        </is>
      </c>
      <c r="B113" s="2" t="inlineStr">
        <is>
          <t>2026-10-22</t>
        </is>
      </c>
      <c r="C113" s="2" t="inlineStr">
        <is>
          <t>CMG</t>
        </is>
      </c>
      <c r="D113" s="2" t="inlineStr">
        <is>
          <t>rebalance</t>
        </is>
      </c>
      <c r="E113" s="2" t="inlineStr">
        <is>
          <t>sell</t>
        </is>
      </c>
      <c r="F113" s="10" t="n">
        <v>87</v>
      </c>
      <c r="G113" s="10" t="n">
        <v>87</v>
      </c>
      <c r="H113" s="2" t="inlineStr">
        <is>
          <t>market, last minute before the close (lifecycle)</t>
        </is>
      </c>
      <c r="I113" s="5" t="n">
        <v>28.025</v>
      </c>
      <c r="J113" s="2" t="inlineStr">
        <is>
          <t>filled</t>
        </is>
      </c>
      <c r="K113" s="5" t="n">
        <v>28.07</v>
      </c>
      <c r="L113" s="5" t="n"/>
      <c r="M113" s="11" t="n"/>
      <c r="N113" s="10">
        <f>IFERROR(G113*IF(K113&lt;&gt;"",K113,I113),"")</f>
        <v/>
      </c>
      <c r="O113" s="2" t="inlineStr">
        <is>
          <t>fund-lc-2026-10-22-CMG-rebalance</t>
        </is>
      </c>
    </row>
    <row r="114">
      <c r="A114" s="2" t="inlineStr">
        <is>
          <t>2026-10-21</t>
        </is>
      </c>
      <c r="B114" s="2" t="inlineStr">
        <is>
          <t>2026-10-22</t>
        </is>
      </c>
      <c r="C114" s="2" t="inlineStr">
        <is>
          <t>CRM</t>
        </is>
      </c>
      <c r="D114" s="2" t="inlineStr">
        <is>
          <t>flatten</t>
        </is>
      </c>
      <c r="E114" s="2" t="inlineStr">
        <is>
          <t>sell</t>
        </is>
      </c>
      <c r="F114" s="10" t="n">
        <v>18</v>
      </c>
      <c r="G114" s="10" t="n">
        <v>18</v>
      </c>
      <c r="H114" s="2" t="inlineStr">
        <is>
          <t>market, last minute before the close (lifecycle)</t>
        </is>
      </c>
      <c r="I114" s="5" t="n">
        <v>250.33</v>
      </c>
      <c r="J114" s="2" t="inlineStr">
        <is>
          <t>filled</t>
        </is>
      </c>
      <c r="K114" s="5" t="n">
        <v>250.53</v>
      </c>
      <c r="L114" s="5" t="n"/>
      <c r="M114" s="11" t="n"/>
      <c r="N114" s="10">
        <f>IFERROR(G114*IF(K114&lt;&gt;"",K114,I114),"")</f>
        <v/>
      </c>
      <c r="O114" s="2" t="inlineStr">
        <is>
          <t>fund-lc-2026-10-22-CRM-flatten</t>
        </is>
      </c>
    </row>
    <row r="115">
      <c r="A115" s="2" t="inlineStr">
        <is>
          <t>2026-10-21</t>
        </is>
      </c>
      <c r="B115" s="2" t="inlineStr">
        <is>
          <t>2026-10-22</t>
        </is>
      </c>
      <c r="C115" s="2" t="inlineStr">
        <is>
          <t>CRM</t>
        </is>
      </c>
      <c r="D115" s="2" t="inlineStr">
        <is>
          <t>open</t>
        </is>
      </c>
      <c r="E115" s="2" t="inlineStr">
        <is>
          <t>sell</t>
        </is>
      </c>
      <c r="F115" s="10" t="n">
        <v>12</v>
      </c>
      <c r="G115" s="10" t="n">
        <v>12</v>
      </c>
      <c r="H115" s="2" t="inlineStr">
        <is>
          <t>market, last minute before the close (lifecycle)</t>
        </is>
      </c>
      <c r="I115" s="5" t="n">
        <v>250.33</v>
      </c>
      <c r="J115" s="2" t="inlineStr">
        <is>
          <t>filled</t>
        </is>
      </c>
      <c r="K115" s="5" t="n">
        <v>250.35</v>
      </c>
      <c r="L115" s="5" t="n"/>
      <c r="M115" s="11" t="n"/>
      <c r="N115" s="10">
        <f>IFERROR(G115*IF(K115&lt;&gt;"",K115,I115),"")</f>
        <v/>
      </c>
      <c r="O115" s="2" t="inlineStr">
        <is>
          <t>fund-lc-2026-10-22-CRM-open</t>
        </is>
      </c>
    </row>
    <row r="116">
      <c r="A116" s="2" t="inlineStr">
        <is>
          <t>2026-10-21</t>
        </is>
      </c>
      <c r="B116" s="2" t="inlineStr">
        <is>
          <t>2026-10-22</t>
        </is>
      </c>
      <c r="C116" s="2" t="inlineStr">
        <is>
          <t>CSX</t>
        </is>
      </c>
      <c r="D116" s="2" t="inlineStr">
        <is>
          <t>rebalance</t>
        </is>
      </c>
      <c r="E116" s="2" t="inlineStr">
        <is>
          <t>buy</t>
        </is>
      </c>
      <c r="F116" s="10" t="n">
        <v>114</v>
      </c>
      <c r="G116" s="10" t="n">
        <v>114</v>
      </c>
      <c r="H116" s="2" t="inlineStr">
        <is>
          <t>market, last minute before the close (lifecycle)</t>
        </is>
      </c>
      <c r="I116" s="5" t="n">
        <v>51.715</v>
      </c>
      <c r="J116" s="2" t="inlineStr">
        <is>
          <t>filled</t>
        </is>
      </c>
      <c r="K116" s="5" t="n">
        <v>51.72</v>
      </c>
      <c r="L116" s="5" t="n"/>
      <c r="M116" s="11" t="n"/>
      <c r="N116" s="10">
        <f>IFERROR(G116*IF(K116&lt;&gt;"",K116,I116),"")</f>
        <v/>
      </c>
      <c r="O116" s="2" t="inlineStr">
        <is>
          <t>fund-lc-2026-10-22-CSX-rebalance</t>
        </is>
      </c>
    </row>
    <row r="117">
      <c r="A117" s="2" t="inlineStr">
        <is>
          <t>2026-10-21</t>
        </is>
      </c>
      <c r="B117" s="2" t="inlineStr">
        <is>
          <t>2026-10-22</t>
        </is>
      </c>
      <c r="C117" s="2" t="inlineStr">
        <is>
          <t>DAL</t>
        </is>
      </c>
      <c r="D117" s="2" t="inlineStr">
        <is>
          <t>close</t>
        </is>
      </c>
      <c r="E117" s="2" t="inlineStr">
        <is>
          <t>buy</t>
        </is>
      </c>
      <c r="F117" s="10" t="n">
        <v>47</v>
      </c>
      <c r="G117" s="10" t="n">
        <v>47</v>
      </c>
      <c r="H117" s="2" t="inlineStr">
        <is>
          <t>market, last minute before the close (lifecycle)</t>
        </is>
      </c>
      <c r="I117" s="5" t="n">
        <v>79.15000000000001</v>
      </c>
      <c r="J117" s="2" t="inlineStr">
        <is>
          <t>filled</t>
        </is>
      </c>
      <c r="K117" s="5" t="n">
        <v>79.149362</v>
      </c>
      <c r="L117" s="5" t="n"/>
      <c r="M117" s="11" t="n"/>
      <c r="N117" s="10">
        <f>IFERROR(G117*IF(K117&lt;&gt;"",K117,I117),"")</f>
        <v/>
      </c>
      <c r="O117" s="2" t="inlineStr">
        <is>
          <t>fund-lc-2026-10-22-DAL-close</t>
        </is>
      </c>
    </row>
    <row r="118">
      <c r="A118" s="2" t="inlineStr">
        <is>
          <t>2026-10-21</t>
        </is>
      </c>
      <c r="B118" s="2" t="inlineStr">
        <is>
          <t>2026-10-22</t>
        </is>
      </c>
      <c r="C118" s="2" t="inlineStr">
        <is>
          <t>HAS</t>
        </is>
      </c>
      <c r="D118" s="2" t="inlineStr">
        <is>
          <t>rebalance</t>
        </is>
      </c>
      <c r="E118" s="2" t="inlineStr">
        <is>
          <t>buy</t>
        </is>
      </c>
      <c r="F118" s="10" t="n">
        <v>21</v>
      </c>
      <c r="G118" s="10" t="n">
        <v>21</v>
      </c>
      <c r="H118" s="2" t="inlineStr">
        <is>
          <t>market, last minute before the close (lifecycle)</t>
        </is>
      </c>
      <c r="I118" s="5" t="n">
        <v>117.07</v>
      </c>
      <c r="J118" s="2" t="inlineStr">
        <is>
          <t>filled</t>
        </is>
      </c>
      <c r="K118" s="5" t="n">
        <v>117.22</v>
      </c>
      <c r="L118" s="5" t="n"/>
      <c r="M118" s="11" t="n"/>
      <c r="N118" s="10">
        <f>IFERROR(G118*IF(K118&lt;&gt;"",K118,I118),"")</f>
        <v/>
      </c>
      <c r="O118" s="2" t="inlineStr">
        <is>
          <t>fund-lc-2026-10-22-HAS-rebalance</t>
        </is>
      </c>
    </row>
    <row r="119">
      <c r="A119" s="2" t="inlineStr">
        <is>
          <t>2026-10-21</t>
        </is>
      </c>
      <c r="B119" s="2" t="inlineStr">
        <is>
          <t>2026-10-22</t>
        </is>
      </c>
      <c r="C119" s="2" t="inlineStr">
        <is>
          <t>HPE</t>
        </is>
      </c>
      <c r="D119" s="2" t="inlineStr">
        <is>
          <t>close</t>
        </is>
      </c>
      <c r="E119" s="2" t="inlineStr">
        <is>
          <t>sell</t>
        </is>
      </c>
      <c r="F119" s="10" t="n">
        <v>65</v>
      </c>
      <c r="G119" s="10" t="n">
        <v>65</v>
      </c>
      <c r="H119" s="2" t="inlineStr">
        <is>
          <t>market, last minute before the close (lifecycle)</t>
        </is>
      </c>
      <c r="I119" s="5" t="n">
        <v>55.41</v>
      </c>
      <c r="J119" s="2" t="inlineStr">
        <is>
          <t>filled</t>
        </is>
      </c>
      <c r="K119" s="5" t="n">
        <v>55.43</v>
      </c>
      <c r="L119" s="5" t="n"/>
      <c r="M119" s="11" t="n"/>
      <c r="N119" s="10">
        <f>IFERROR(G119*IF(K119&lt;&gt;"",K119,I119),"")</f>
        <v/>
      </c>
      <c r="O119" s="2" t="inlineStr">
        <is>
          <t>fund-lc-2026-10-22-HPE-close</t>
        </is>
      </c>
    </row>
    <row r="120">
      <c r="A120" s="2" t="inlineStr">
        <is>
          <t>2026-10-21</t>
        </is>
      </c>
      <c r="B120" s="2" t="inlineStr">
        <is>
          <t>2026-10-22</t>
        </is>
      </c>
      <c r="C120" s="2" t="inlineStr">
        <is>
          <t>JPM</t>
        </is>
      </c>
      <c r="D120" s="2" t="inlineStr">
        <is>
          <t>close</t>
        </is>
      </c>
      <c r="E120" s="2" t="inlineStr">
        <is>
          <t>buy</t>
        </is>
      </c>
      <c r="F120" s="10" t="n">
        <v>7</v>
      </c>
      <c r="G120" s="10" t="n">
        <v>7</v>
      </c>
      <c r="H120" s="2" t="inlineStr">
        <is>
          <t>market, last minute before the close (lifecycle)</t>
        </is>
      </c>
      <c r="I120" s="5" t="n">
        <v>336.21</v>
      </c>
      <c r="J120" s="2" t="inlineStr">
        <is>
          <t>filled</t>
        </is>
      </c>
      <c r="K120" s="5" t="n">
        <v>336.362857</v>
      </c>
      <c r="L120" s="5" t="n"/>
      <c r="M120" s="11" t="n"/>
      <c r="N120" s="10">
        <f>IFERROR(G120*IF(K120&lt;&gt;"",K120,I120),"")</f>
        <v/>
      </c>
      <c r="O120" s="2" t="inlineStr">
        <is>
          <t>fund-lc-2026-10-22-JPM-close</t>
        </is>
      </c>
    </row>
    <row r="121">
      <c r="A121" s="2" t="inlineStr">
        <is>
          <t>2026-10-21</t>
        </is>
      </c>
      <c r="B121" s="2" t="inlineStr">
        <is>
          <t>2026-10-22</t>
        </is>
      </c>
      <c r="C121" s="2" t="inlineStr">
        <is>
          <t>KHC</t>
        </is>
      </c>
      <c r="D121" s="2" t="inlineStr">
        <is>
          <t>close</t>
        </is>
      </c>
      <c r="E121" s="2" t="inlineStr">
        <is>
          <t>buy</t>
        </is>
      </c>
      <c r="F121" s="10" t="n">
        <v>101</v>
      </c>
      <c r="G121" s="10" t="n">
        <v>101</v>
      </c>
      <c r="H121" s="2" t="inlineStr">
        <is>
          <t>market, last minute before the close (lifecycle)</t>
        </is>
      </c>
      <c r="I121" s="5" t="n">
        <v>25.055</v>
      </c>
      <c r="J121" s="2" t="inlineStr">
        <is>
          <t>filled</t>
        </is>
      </c>
      <c r="K121" s="5" t="n">
        <v>25.1</v>
      </c>
      <c r="L121" s="5" t="n"/>
      <c r="M121" s="11" t="n"/>
      <c r="N121" s="10">
        <f>IFERROR(G121*IF(K121&lt;&gt;"",K121,I121),"")</f>
        <v/>
      </c>
      <c r="O121" s="2" t="inlineStr">
        <is>
          <t>fund-lc-2026-10-22-KHC-close</t>
        </is>
      </c>
    </row>
    <row r="122">
      <c r="A122" s="2" t="inlineStr">
        <is>
          <t>2026-10-21</t>
        </is>
      </c>
      <c r="B122" s="2" t="inlineStr">
        <is>
          <t>2026-10-22</t>
        </is>
      </c>
      <c r="C122" s="2" t="inlineStr">
        <is>
          <t>LRCX</t>
        </is>
      </c>
      <c r="D122" s="2" t="inlineStr">
        <is>
          <t>rebalance</t>
        </is>
      </c>
      <c r="E122" s="2" t="inlineStr">
        <is>
          <t>sell</t>
        </is>
      </c>
      <c r="F122" s="10" t="n">
        <v>13</v>
      </c>
      <c r="G122" s="10" t="n">
        <v>13</v>
      </c>
      <c r="H122" s="2" t="inlineStr">
        <is>
          <t>market, last minute before the close (lifecycle)</t>
        </is>
      </c>
      <c r="I122" s="5" t="n">
        <v>230.07</v>
      </c>
      <c r="J122" s="2" t="inlineStr">
        <is>
          <t>filled</t>
        </is>
      </c>
      <c r="K122" s="5" t="n">
        <v>230.03</v>
      </c>
      <c r="L122" s="5" t="n"/>
      <c r="M122" s="11" t="n"/>
      <c r="N122" s="10">
        <f>IFERROR(G122*IF(K122&lt;&gt;"",K122,I122),"")</f>
        <v/>
      </c>
      <c r="O122" s="2" t="inlineStr">
        <is>
          <t>fund-lc-2026-10-22-LRCX-rebalance</t>
        </is>
      </c>
    </row>
    <row r="123">
      <c r="A123" s="2" t="inlineStr">
        <is>
          <t>2026-10-21</t>
        </is>
      </c>
      <c r="B123" s="2" t="inlineStr">
        <is>
          <t>2026-10-22</t>
        </is>
      </c>
      <c r="C123" s="2" t="inlineStr">
        <is>
          <t>META</t>
        </is>
      </c>
      <c r="D123" s="2" t="inlineStr">
        <is>
          <t>rebalance</t>
        </is>
      </c>
      <c r="E123" s="2" t="inlineStr">
        <is>
          <t>buy</t>
        </is>
      </c>
      <c r="F123" s="10" t="n">
        <v>7</v>
      </c>
      <c r="G123" s="10" t="n">
        <v>7</v>
      </c>
      <c r="H123" s="2" t="inlineStr">
        <is>
          <t>market, last minute before the close (lifecycle)</t>
        </is>
      </c>
      <c r="I123" s="5" t="n">
        <v>648.225</v>
      </c>
      <c r="J123" s="2" t="inlineStr">
        <is>
          <t>filled</t>
        </is>
      </c>
      <c r="K123" s="5" t="n">
        <v>648.394286</v>
      </c>
      <c r="L123" s="5" t="n"/>
      <c r="M123" s="11" t="n"/>
      <c r="N123" s="10">
        <f>IFERROR(G123*IF(K123&lt;&gt;"",K123,I123),"")</f>
        <v/>
      </c>
      <c r="O123" s="2" t="inlineStr">
        <is>
          <t>fund-lc-2026-10-22-META-rebalance</t>
        </is>
      </c>
    </row>
    <row r="124">
      <c r="A124" s="2" t="inlineStr">
        <is>
          <t>2026-10-21</t>
        </is>
      </c>
      <c r="B124" s="2" t="inlineStr">
        <is>
          <t>2026-10-22</t>
        </is>
      </c>
      <c r="C124" s="2" t="inlineStr">
        <is>
          <t>MMM</t>
        </is>
      </c>
      <c r="D124" s="2" t="inlineStr">
        <is>
          <t>rebalance</t>
        </is>
      </c>
      <c r="E124" s="2" t="inlineStr">
        <is>
          <t>buy</t>
        </is>
      </c>
      <c r="F124" s="10" t="n">
        <v>15</v>
      </c>
      <c r="G124" s="10" t="n">
        <v>15</v>
      </c>
      <c r="H124" s="2" t="inlineStr">
        <is>
          <t>market, last minute before the close (lifecycle)</t>
        </is>
      </c>
      <c r="I124" s="5" t="n">
        <v>176.05</v>
      </c>
      <c r="J124" s="2" t="inlineStr">
        <is>
          <t>filled</t>
        </is>
      </c>
      <c r="K124" s="5" t="n">
        <v>175.868</v>
      </c>
      <c r="L124" s="5" t="n"/>
      <c r="M124" s="11" t="n"/>
      <c r="N124" s="10">
        <f>IFERROR(G124*IF(K124&lt;&gt;"",K124,I124),"")</f>
        <v/>
      </c>
      <c r="O124" s="2" t="inlineStr">
        <is>
          <t>fund-lc-2026-10-22-MMM-rebalance</t>
        </is>
      </c>
    </row>
    <row r="125">
      <c r="A125" s="2" t="inlineStr">
        <is>
          <t>2026-10-21</t>
        </is>
      </c>
      <c r="B125" s="2" t="inlineStr">
        <is>
          <t>2026-10-22</t>
        </is>
      </c>
      <c r="C125" s="2" t="inlineStr">
        <is>
          <t>MSFT</t>
        </is>
      </c>
      <c r="D125" s="2" t="inlineStr">
        <is>
          <t>rebalance</t>
        </is>
      </c>
      <c r="E125" s="2" t="inlineStr">
        <is>
          <t>sell</t>
        </is>
      </c>
      <c r="F125" s="10" t="n">
        <v>5</v>
      </c>
      <c r="G125" s="10" t="n">
        <v>5</v>
      </c>
      <c r="H125" s="2" t="inlineStr">
        <is>
          <t>market, last minute before the close (lifecycle)</t>
        </is>
      </c>
      <c r="I125" s="5" t="n">
        <v>521.04</v>
      </c>
      <c r="J125" s="2" t="inlineStr">
        <is>
          <t>filled</t>
        </is>
      </c>
      <c r="K125" s="5" t="n">
        <v>520.91</v>
      </c>
      <c r="L125" s="5" t="n"/>
      <c r="M125" s="11" t="n"/>
      <c r="N125" s="10">
        <f>IFERROR(G125*IF(K125&lt;&gt;"",K125,I125),"")</f>
        <v/>
      </c>
      <c r="O125" s="2" t="inlineStr">
        <is>
          <t>fund-lc-2026-10-22-MSFT-rebalance</t>
        </is>
      </c>
    </row>
    <row r="126">
      <c r="A126" s="2" t="inlineStr">
        <is>
          <t>2026-10-21</t>
        </is>
      </c>
      <c r="B126" s="2" t="inlineStr">
        <is>
          <t>2026-10-22</t>
        </is>
      </c>
      <c r="C126" s="2" t="inlineStr">
        <is>
          <t>NFLX</t>
        </is>
      </c>
      <c r="D126" s="2" t="inlineStr">
        <is>
          <t>rebalance</t>
        </is>
      </c>
      <c r="E126" s="2" t="inlineStr">
        <is>
          <t>sell</t>
        </is>
      </c>
      <c r="F126" s="10" t="n">
        <v>42</v>
      </c>
      <c r="G126" s="10" t="n">
        <v>42</v>
      </c>
      <c r="H126" s="2" t="inlineStr">
        <is>
          <t>market, last minute before the close (lifecycle)</t>
        </is>
      </c>
      <c r="I126" s="5" t="n">
        <v>67.035</v>
      </c>
      <c r="J126" s="2" t="inlineStr">
        <is>
          <t>filled</t>
        </is>
      </c>
      <c r="K126" s="5" t="n">
        <v>67.04000000000001</v>
      </c>
      <c r="L126" s="5" t="n"/>
      <c r="M126" s="11" t="n"/>
      <c r="N126" s="10">
        <f>IFERROR(G126*IF(K126&lt;&gt;"",K126,I126),"")</f>
        <v/>
      </c>
      <c r="O126" s="2" t="inlineStr">
        <is>
          <t>fund-lc-2026-10-22-NFLX-rebalance</t>
        </is>
      </c>
    </row>
    <row r="127">
      <c r="A127" s="2" t="inlineStr">
        <is>
          <t>2026-10-21</t>
        </is>
      </c>
      <c r="B127" s="2" t="inlineStr">
        <is>
          <t>2026-10-22</t>
        </is>
      </c>
      <c r="C127" s="2" t="inlineStr">
        <is>
          <t>ROL</t>
        </is>
      </c>
      <c r="D127" s="2" t="inlineStr">
        <is>
          <t>rebalance</t>
        </is>
      </c>
      <c r="E127" s="2" t="inlineStr">
        <is>
          <t>sell</t>
        </is>
      </c>
      <c r="F127" s="10" t="n">
        <v>199</v>
      </c>
      <c r="G127" s="10" t="n">
        <v>199</v>
      </c>
      <c r="H127" s="2" t="inlineStr">
        <is>
          <t>market, last minute before the close (lifecycle)</t>
        </is>
      </c>
      <c r="I127" s="5" t="n">
        <v>35.26</v>
      </c>
      <c r="J127" s="2" t="inlineStr">
        <is>
          <t>filled</t>
        </is>
      </c>
      <c r="K127" s="5" t="n">
        <v>35.28</v>
      </c>
      <c r="L127" s="5" t="n"/>
      <c r="M127" s="11" t="n"/>
      <c r="N127" s="10">
        <f>IFERROR(G127*IF(K127&lt;&gt;"",K127,I127),"")</f>
        <v/>
      </c>
      <c r="O127" s="2" t="inlineStr">
        <is>
          <t>fund-lc-2026-10-22-ROL-rebalance</t>
        </is>
      </c>
    </row>
    <row r="128">
      <c r="A128" s="2" t="inlineStr">
        <is>
          <t>2026-10-21</t>
        </is>
      </c>
      <c r="B128" s="2" t="inlineStr">
        <is>
          <t>2026-10-22</t>
        </is>
      </c>
      <c r="C128" s="2" t="inlineStr">
        <is>
          <t>SMCI</t>
        </is>
      </c>
      <c r="D128" s="2" t="inlineStr">
        <is>
          <t>rebalance</t>
        </is>
      </c>
      <c r="E128" s="2" t="inlineStr">
        <is>
          <t>buy</t>
        </is>
      </c>
      <c r="F128" s="10" t="n">
        <v>173</v>
      </c>
      <c r="G128" s="10" t="n">
        <v>173</v>
      </c>
      <c r="H128" s="2" t="inlineStr">
        <is>
          <t>market, last minute before the close (lifecycle)</t>
        </is>
      </c>
      <c r="I128" s="5" t="n">
        <v>33.68</v>
      </c>
      <c r="J128" s="2" t="inlineStr">
        <is>
          <t>filled</t>
        </is>
      </c>
      <c r="K128" s="5" t="n">
        <v>33.72</v>
      </c>
      <c r="L128" s="5" t="n"/>
      <c r="M128" s="11" t="n"/>
      <c r="N128" s="10">
        <f>IFERROR(G128*IF(K128&lt;&gt;"",K128,I128),"")</f>
        <v/>
      </c>
      <c r="O128" s="2" t="inlineStr">
        <is>
          <t>fund-lc-2026-10-22-SMCI-rebalance</t>
        </is>
      </c>
    </row>
    <row r="129">
      <c r="A129" s="2" t="inlineStr">
        <is>
          <t>2026-10-21</t>
        </is>
      </c>
      <c r="B129" s="2" t="inlineStr">
        <is>
          <t>2026-10-22</t>
        </is>
      </c>
      <c r="C129" s="2" t="inlineStr">
        <is>
          <t>SPY</t>
        </is>
      </c>
      <c r="D129" s="2" t="inlineStr">
        <is>
          <t>rebalance</t>
        </is>
      </c>
      <c r="E129" s="2" t="inlineStr">
        <is>
          <t>sell</t>
        </is>
      </c>
      <c r="F129" s="10" t="n">
        <v>10</v>
      </c>
      <c r="G129" s="10" t="n">
        <v>10</v>
      </c>
      <c r="H129" s="2" t="inlineStr">
        <is>
          <t>market, last minute before the close (lifecycle)</t>
        </is>
      </c>
      <c r="I129" s="5" t="n">
        <v>763.54</v>
      </c>
      <c r="J129" s="2" t="inlineStr">
        <is>
          <t>filled</t>
        </is>
      </c>
      <c r="K129" s="5" t="n">
        <v>763.499</v>
      </c>
      <c r="L129" s="5" t="n"/>
      <c r="M129" s="11" t="n"/>
      <c r="N129" s="10">
        <f>IFERROR(G129*IF(K129&lt;&gt;"",K129,I129),"")</f>
        <v/>
      </c>
      <c r="O129" s="2" t="inlineStr">
        <is>
          <t>fund-lc-2026-10-22-SPY-rebalance</t>
        </is>
      </c>
    </row>
    <row r="130">
      <c r="A130" s="2" t="inlineStr">
        <is>
          <t>2026-10-21</t>
        </is>
      </c>
      <c r="B130" s="2" t="inlineStr">
        <is>
          <t>2026-10-22</t>
        </is>
      </c>
      <c r="C130" s="2" t="inlineStr">
        <is>
          <t>STT</t>
        </is>
      </c>
      <c r="D130" s="2" t="inlineStr">
        <is>
          <t>close</t>
        </is>
      </c>
      <c r="E130" s="2" t="inlineStr">
        <is>
          <t>buy</t>
        </is>
      </c>
      <c r="F130" s="10" t="n">
        <v>14</v>
      </c>
      <c r="G130" s="10" t="n">
        <v>14</v>
      </c>
      <c r="H130" s="2" t="inlineStr">
        <is>
          <t>market, last minute before the close (lifecycle)</t>
        </is>
      </c>
      <c r="I130" s="5" t="n">
        <v>167.515</v>
      </c>
      <c r="J130" s="2" t="inlineStr">
        <is>
          <t>filled</t>
        </is>
      </c>
      <c r="K130" s="5" t="n">
        <v>167.732857</v>
      </c>
      <c r="L130" s="5" t="n"/>
      <c r="M130" s="11" t="n"/>
      <c r="N130" s="10">
        <f>IFERROR(G130*IF(K130&lt;&gt;"",K130,I130),"")</f>
        <v/>
      </c>
      <c r="O130" s="2" t="inlineStr">
        <is>
          <t>fund-lc-2026-10-22-STT-close</t>
        </is>
      </c>
    </row>
    <row r="131">
      <c r="A131" s="2" t="inlineStr">
        <is>
          <t>2026-10-21</t>
        </is>
      </c>
      <c r="B131" s="2" t="inlineStr">
        <is>
          <t>2026-10-22</t>
        </is>
      </c>
      <c r="C131" s="2" t="inlineStr">
        <is>
          <t>TSLA</t>
        </is>
      </c>
      <c r="D131" s="2" t="inlineStr">
        <is>
          <t>rebalance</t>
        </is>
      </c>
      <c r="E131" s="2" t="inlineStr">
        <is>
          <t>buy</t>
        </is>
      </c>
      <c r="F131" s="10" t="n">
        <v>13</v>
      </c>
      <c r="G131" s="10" t="n">
        <v>13</v>
      </c>
      <c r="H131" s="2" t="inlineStr">
        <is>
          <t>market, last minute before the close (lifecycle)</t>
        </is>
      </c>
      <c r="I131" s="5" t="n">
        <v>377.545</v>
      </c>
      <c r="J131" s="2" t="inlineStr">
        <is>
          <t>filled</t>
        </is>
      </c>
      <c r="K131" s="5" t="n">
        <v>375.053077</v>
      </c>
      <c r="L131" s="5" t="n"/>
      <c r="M131" s="11" t="n"/>
      <c r="N131" s="10">
        <f>IFERROR(G131*IF(K131&lt;&gt;"",K131,I131),"")</f>
        <v/>
      </c>
      <c r="O131" s="2" t="inlineStr">
        <is>
          <t>fund-lc-2026-10-22-TSLA-rebalance</t>
        </is>
      </c>
    </row>
    <row r="132">
      <c r="A132" s="2" t="inlineStr">
        <is>
          <t>2026-10-21</t>
        </is>
      </c>
      <c r="B132" s="2" t="inlineStr">
        <is>
          <t>2026-10-22</t>
        </is>
      </c>
      <c r="C132" s="2" t="inlineStr">
        <is>
          <t>WMT</t>
        </is>
      </c>
      <c r="D132" s="2" t="inlineStr">
        <is>
          <t>rebalance</t>
        </is>
      </c>
      <c r="E132" s="2" t="inlineStr">
        <is>
          <t>buy</t>
        </is>
      </c>
      <c r="F132" s="10" t="n">
        <v>24</v>
      </c>
      <c r="G132" s="10" t="n">
        <v>24</v>
      </c>
      <c r="H132" s="2" t="inlineStr">
        <is>
          <t>market, last minute before the close (lifecycle)</t>
        </is>
      </c>
      <c r="I132" s="5" t="n">
        <v>121.09</v>
      </c>
      <c r="J132" s="2" t="inlineStr">
        <is>
          <t>filled</t>
        </is>
      </c>
      <c r="K132" s="5" t="n">
        <v>121.07</v>
      </c>
      <c r="L132" s="5" t="n"/>
      <c r="M132" s="11" t="n"/>
      <c r="N132" s="10">
        <f>IFERROR(G132*IF(K132&lt;&gt;"",K132,I132),"")</f>
        <v/>
      </c>
      <c r="O132" s="2" t="inlineStr">
        <is>
          <t>fund-lc-2026-10-22-WMT-rebalance</t>
        </is>
      </c>
    </row>
    <row r="133">
      <c r="A133" s="2" t="inlineStr">
        <is>
          <t>2026-10-21</t>
        </is>
      </c>
      <c r="B133" s="2" t="inlineStr">
        <is>
          <t>2026-10-22</t>
        </is>
      </c>
      <c r="C133" s="2" t="inlineStr">
        <is>
          <t>XOM</t>
        </is>
      </c>
      <c r="D133" s="2" t="inlineStr">
        <is>
          <t>rebalance</t>
        </is>
      </c>
      <c r="E133" s="2" t="inlineStr">
        <is>
          <t>buy</t>
        </is>
      </c>
      <c r="F133" s="10" t="n">
        <v>14</v>
      </c>
      <c r="G133" s="10" t="n">
        <v>14</v>
      </c>
      <c r="H133" s="2" t="inlineStr">
        <is>
          <t>market, last minute before the close (lifecycle)</t>
        </is>
      </c>
      <c r="I133" s="5" t="n">
        <v>177.95</v>
      </c>
      <c r="J133" s="2" t="inlineStr">
        <is>
          <t>filled</t>
        </is>
      </c>
      <c r="K133" s="5" t="n">
        <v>177.92</v>
      </c>
      <c r="L133" s="5" t="n"/>
      <c r="M133" s="11" t="n"/>
      <c r="N133" s="10">
        <f>IFERROR(G133*IF(K133&lt;&gt;"",K133,I133),"")</f>
        <v/>
      </c>
      <c r="O133" s="2" t="inlineStr">
        <is>
          <t>fund-lc-2026-10-22-XOM-rebalance</t>
        </is>
      </c>
    </row>
  </sheetData>
  <autoFilter ref="A1:O13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60648.56579808403</v>
      </c>
      <c r="D16" s="7">
        <f>IF(C15&gt;0,(B16-B15)/C15,"")</f>
        <v/>
      </c>
      <c r="E16" s="3">
        <f>B16-$B$2</f>
        <v/>
      </c>
      <c r="F16" s="7">
        <f>IF(C16&gt;0,E16/C16,"")</f>
        <v/>
      </c>
    </row>
    <row r="17">
      <c r="A17" s="2" t="inlineStr">
        <is>
          <t>2026-10-22</t>
        </is>
      </c>
      <c r="B17" s="12" t="n">
        <v>98528.21000000001</v>
      </c>
      <c r="C17" s="12" t="n">
        <v>97127.8099942207</v>
      </c>
      <c r="D17" s="7">
        <f>IF(C16&gt;0,(B17-B16)/C16,"")</f>
        <v/>
      </c>
      <c r="E17" s="3">
        <f>B17-$B$2</f>
        <v/>
      </c>
      <c r="F17" s="7">
        <f>IF(C17&gt;0,E17/C17,"")</f>
        <v/>
      </c>
    </row>
  </sheetData>
  <autoFilter ref="A1:F1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row r="22">
      <c r="A22" s="2" t="inlineStr">
        <is>
          <t>2026-10-21</t>
        </is>
      </c>
      <c r="B22" s="2" t="inlineStr">
        <is>
          <t>FEE</t>
        </is>
      </c>
      <c r="C22" s="2" t="n"/>
      <c r="D22" s="10" t="n"/>
      <c r="E22" s="13" t="n"/>
      <c r="F22" s="3" t="n">
        <v>-0.44</v>
      </c>
    </row>
    <row r="23">
      <c r="A23" s="2" t="inlineStr">
        <is>
          <t>2026-10-21</t>
        </is>
      </c>
      <c r="B23" s="2" t="inlineStr">
        <is>
          <t>FEE</t>
        </is>
      </c>
      <c r="C23" s="2" t="n"/>
      <c r="D23" s="10" t="n"/>
      <c r="E23" s="13" t="n"/>
      <c r="F23" s="3" t="n">
        <v>-0.01</v>
      </c>
    </row>
  </sheetData>
  <autoFilter ref="A1:F23"/>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2026-10-23T19:16:07Z</dcterms:created>
  <dcterms:modified xmlns:dcterms="http://purl.org/dc/terms/" xmlns:xsi="http://www.w3.org/2001/XMLSchema-instance" xsi:type="dcterms:W3CDTF">2026-10-23T19:16:12Z</dcterms:modified>
</cp:coreProperties>
</file>