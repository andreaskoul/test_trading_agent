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s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Account" sheetId="3" state="visible" r:id="rId3"/>
    <sheet xmlns:r="http://schemas.openxmlformats.org/officeDocument/2006/relationships" name="Cash activity" sheetId="4" state="visible" r:id="rId4"/>
    <sheet xmlns:r="http://schemas.openxmlformats.org/officeDocument/2006/relationships" name="Notes" sheetId="5" state="visible" r:id="rId5"/>
  </sheets>
  <definedNames>
    <definedName name="_xlnm._FilterDatabase" localSheetId="0" hidden="1">'Positions'!$A$1:$Q$7</definedName>
    <definedName name="_xlnm._FilterDatabase" localSheetId="1" hidden="1">'Orders'!$A$1:$O$21</definedName>
    <definedName name="_xlnm._FilterDatabase" localSheetId="2" hidden="1">'Account'!$A$1:$D$4</definedName>
    <definedName name="_xlnm._FilterDatabase" localSheetId="3" hidden="1">'Cash activity'!$A$1:$F$3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-#,##0;-"/>
    <numFmt numFmtId="165" formatCode="0.00%;-0.00%;-"/>
    <numFmt numFmtId="166" formatCode="#,##0;(#,##0);-"/>
    <numFmt numFmtId="167" formatCode="0.0"/>
    <numFmt numFmtId="168" formatCode="$#,##0"/>
    <numFmt numFmtId="169" formatCode="#,##0.0000"/>
    <numFmt numFmtId="170" formatCode="#,##0.00;(#,##0.00);-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2" fillId="0" borderId="0" applyAlignment="1" pivotButton="0" quotePrefix="0" xfId="0">
      <alignment/>
    </xf>
    <xf numFmtId="3" fontId="2" fillId="0" borderId="0" pivotButton="0" quotePrefix="0" xfId="0"/>
    <xf numFmtId="167" fontId="2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7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90" customWidth="1" min="17" max="17"/>
  </cols>
  <sheetData>
    <row r="1" ht="30" customHeight="1">
      <c r="A1" s="1" t="inlineStr">
        <is>
          <t>Week (as-of Wed)</t>
        </is>
      </c>
      <c r="B1" s="1" t="inlineStr">
        <is>
          <t>Ticker</t>
        </is>
      </c>
      <c r="C1" s="1" t="inlineStr">
        <is>
          <t>Name</t>
        </is>
      </c>
      <c r="D1" s="1" t="inlineStr">
        <is>
          <t>Role</t>
        </is>
      </c>
      <c r="E1" s="1" t="inlineStr">
        <is>
          <t>Side</t>
        </is>
      </c>
      <c r="F1" s="1" t="inlineStr">
        <is>
          <t>Status</t>
        </is>
      </c>
      <c r="G1" s="1" t="inlineStr">
        <is>
          <t>Entry day</t>
        </is>
      </c>
      <c r="H1" s="1" t="inlineStr">
        <is>
          <t>Exit day</t>
        </is>
      </c>
      <c r="I1" s="1" t="inlineStr">
        <is>
          <t>Shares (signed)</t>
        </is>
      </c>
      <c r="J1" s="1" t="inlineStr">
        <is>
          <t>Entry price ($)</t>
        </is>
      </c>
      <c r="K1" s="1" t="inlineStr">
        <is>
          <t>Exit price ($)</t>
        </is>
      </c>
      <c r="L1" s="1" t="inlineStr">
        <is>
          <t>Current price ($)</t>
        </is>
      </c>
      <c r="M1" s="1" t="inlineStr">
        <is>
          <t>Return (%)</t>
        </is>
      </c>
      <c r="N1" s="1" t="inlineStr">
        <is>
          <t>P&amp;L ($)</t>
        </is>
      </c>
      <c r="O1" s="1" t="inlineStr">
        <is>
          <t>Confidence</t>
        </is>
      </c>
      <c r="P1" s="1" t="inlineStr">
        <is>
          <t>Red team</t>
        </is>
      </c>
      <c r="Q1" s="1" t="inlineStr">
        <is>
          <t>Thesis</t>
        </is>
      </c>
    </row>
    <row r="2">
      <c r="A2" s="2" t="inlineStr">
        <is>
          <t>2026-09-30</t>
        </is>
      </c>
      <c r="B2" s="2" t="inlineStr">
        <is>
          <t>GEV</t>
        </is>
      </c>
      <c r="C2" s="2" t="inlineStr">
        <is>
          <t>GE Vernova</t>
        </is>
      </c>
      <c r="D2" s="2" t="inlineStr">
        <is>
          <t>position</t>
        </is>
      </c>
      <c r="E2" s="2" t="inlineStr">
        <is>
          <t>Long</t>
        </is>
      </c>
      <c r="F2" s="2" t="inlineStr">
        <is>
          <t>Open</t>
        </is>
      </c>
      <c r="G2" s="2" t="inlineStr">
        <is>
          <t>2026-10-01</t>
        </is>
      </c>
      <c r="H2" s="2" t="inlineStr"/>
      <c r="I2" s="3" t="n">
        <v>2</v>
      </c>
      <c r="J2" s="4" t="n">
        <v>987.38</v>
      </c>
      <c r="K2" s="4" t="n"/>
      <c r="L2" s="4" t="n">
        <v>1028.359985351562</v>
      </c>
      <c r="M2" s="5">
        <f>IFERROR(IF(E2="Short",-1,1)*(IF(K2&lt;&gt;"",K2,L2)/J2-1),"")</f>
        <v/>
      </c>
      <c r="N2" s="6">
        <f>IFERROR(I2*(IF(K2&lt;&gt;"",K2,L2)-J2),"")</f>
        <v/>
      </c>
      <c r="O2" s="7" t="n">
        <v>0.6</v>
      </c>
      <c r="P2" s="2" t="inlineStr">
        <is>
          <t>uphold</t>
        </is>
      </c>
      <c r="Q2" s="8" t="inlineStr">
        <is>
          <t>NRC construction permit for GEV/Hitachi's new reactor design (Sep 29-30) is a concrete regulatory milestone that validates the nuclear growth story, whose coverage share jumped to 49% from 9%. With no earnings next week and only 1.1% gain last week, the news is not fully priced; GLJ's Sell is opinion, not information.</t>
        </is>
      </c>
    </row>
    <row r="3">
      <c r="A3" s="2" t="inlineStr">
        <is>
          <t>2026-09-30</t>
        </is>
      </c>
      <c r="B3" s="2" t="inlineStr">
        <is>
          <t>MU</t>
        </is>
      </c>
      <c r="C3" s="2" t="inlineStr">
        <is>
          <t>Micron Technology</t>
        </is>
      </c>
      <c r="D3" s="2" t="inlineStr">
        <is>
          <t>position</t>
        </is>
      </c>
      <c r="E3" s="2" t="inlineStr">
        <is>
          <t>Long</t>
        </is>
      </c>
      <c r="F3" s="2" t="inlineStr">
        <is>
          <t>Open</t>
        </is>
      </c>
      <c r="G3" s="2" t="inlineStr">
        <is>
          <t>2026-10-01</t>
        </is>
      </c>
      <c r="H3" s="2" t="inlineStr"/>
      <c r="I3" s="3" t="n">
        <v>2</v>
      </c>
      <c r="J3" s="4" t="n">
        <v>1097.61</v>
      </c>
      <c r="K3" s="4" t="n"/>
      <c r="L3" s="4" t="n">
        <v>1045.885009765625</v>
      </c>
      <c r="M3" s="5">
        <f>IFERROR(IF(E3="Short",-1,1)*(IF(K3&lt;&gt;"",K3,L3)/J3-1),"")</f>
        <v/>
      </c>
      <c r="N3" s="6">
        <f>IFERROR(I3*(IF(K3&lt;&gt;"",K3,L3)-J3),"")</f>
        <v/>
      </c>
      <c r="O3" s="7" t="n">
        <v>0.6</v>
      </c>
      <c r="P3" s="2" t="inlineStr">
        <is>
          <t>weaken</t>
        </is>
      </c>
      <c r="Q3" s="8" t="inlineStr">
        <is>
          <t>Micron's Sep 30 Q4 beat with above-Street guidance on AI memory demand confirms the bull case, and the AI memory rally story's coverage share is rising (37% vs 29% avg) with a new AI Memory Boom narrative accelerating. Post-earnings drift should favor MU next week, though Burry's puts and bubble fears cap conviction.</t>
        </is>
      </c>
    </row>
    <row r="4">
      <c r="A4" s="2" t="inlineStr">
        <is>
          <t>2026-09-30</t>
        </is>
      </c>
      <c r="B4" s="2" t="inlineStr">
        <is>
          <t>NFLX</t>
        </is>
      </c>
      <c r="C4" s="2" t="inlineStr">
        <is>
          <t>Netflix</t>
        </is>
      </c>
      <c r="D4" s="2" t="inlineStr">
        <is>
          <t>position</t>
        </is>
      </c>
      <c r="E4" s="2" t="inlineStr">
        <is>
          <t>Long</t>
        </is>
      </c>
      <c r="F4" s="2" t="inlineStr">
        <is>
          <t>Open</t>
        </is>
      </c>
      <c r="G4" s="2" t="inlineStr">
        <is>
          <t>2026-10-01</t>
        </is>
      </c>
      <c r="H4" s="2" t="inlineStr"/>
      <c r="I4" s="3" t="n">
        <v>24</v>
      </c>
      <c r="J4" s="4" t="n">
        <v>67.84999999999999</v>
      </c>
      <c r="K4" s="4" t="n"/>
      <c r="L4" s="4" t="n">
        <v>68.71499633789062</v>
      </c>
      <c r="M4" s="5">
        <f>IFERROR(IF(E4="Short",-1,1)*(IF(K4&lt;&gt;"",K4,L4)/J4-1),"")</f>
        <v/>
      </c>
      <c r="N4" s="6">
        <f>IFERROR(I4*(IF(K4&lt;&gt;"",K4,L4)-J4),"")</f>
        <v/>
      </c>
      <c r="O4" s="7" t="n">
        <v>0.55</v>
      </c>
      <c r="P4" s="2" t="inlineStr">
        <is>
          <t>uphold</t>
        </is>
      </c>
      <c r="Q4" s="8" t="inlineStr">
        <is>
          <t>Deutsche Bank's Sep 29 upgrade to Buy is a new story now 40% of coverage, and the selloff-debate narrative is fading, suggesting a near-term bounce. But the upgrade came with a lowered target and weak engagement trends persist, capping conviction.</t>
        </is>
      </c>
    </row>
    <row r="5">
      <c r="A5" s="2" t="inlineStr">
        <is>
          <t>2026-09-30</t>
        </is>
      </c>
      <c r="B5" s="2" t="inlineStr">
        <is>
          <t>BRK.B</t>
        </is>
      </c>
      <c r="C5" s="2" t="inlineStr">
        <is>
          <t>Berkshire Hathaway</t>
        </is>
      </c>
      <c r="D5" s="2" t="inlineStr">
        <is>
          <t>position</t>
        </is>
      </c>
      <c r="E5" s="2" t="inlineStr">
        <is>
          <t>Short</t>
        </is>
      </c>
      <c r="F5" s="2" t="inlineStr">
        <is>
          <t>Open</t>
        </is>
      </c>
      <c r="G5" s="2" t="inlineStr">
        <is>
          <t>2026-10-01</t>
        </is>
      </c>
      <c r="H5" s="2" t="inlineStr"/>
      <c r="I5" s="3" t="n">
        <v>-4</v>
      </c>
      <c r="J5" s="4" t="n">
        <v>500.56</v>
      </c>
      <c r="K5" s="4" t="n"/>
      <c r="L5" s="4" t="n">
        <v>505.8800048828125</v>
      </c>
      <c r="M5" s="5">
        <f>IFERROR(IF(E5="Short",-1,1)*(IF(K5&lt;&gt;"",K5,L5)/J5-1),"")</f>
        <v/>
      </c>
      <c r="N5" s="6">
        <f>IFERROR(I5*(IF(K5&lt;&gt;"",K5,L5)-J5),"")</f>
        <v/>
      </c>
      <c r="O5" s="7" t="n">
        <v>0.6</v>
      </c>
      <c r="P5" s="2" t="inlineStr">
        <is>
          <t>uphold</t>
        </is>
      </c>
      <c r="Q5" s="8" t="inlineStr">
        <is>
          <t>Buffett's chairman exit and Howard's appointment add governance uncertainty, while the positive Abel/Alphabet narrative fades. Lennar stake increase is too small to offset. Expect slight underperformance next week.</t>
        </is>
      </c>
    </row>
    <row r="6">
      <c r="A6" s="2" t="inlineStr">
        <is>
          <t>2026-09-30</t>
        </is>
      </c>
      <c r="B6" s="2" t="inlineStr">
        <is>
          <t>LULU</t>
        </is>
      </c>
      <c r="C6" s="2" t="inlineStr">
        <is>
          <t>Lululemon Athletica</t>
        </is>
      </c>
      <c r="D6" s="2" t="inlineStr">
        <is>
          <t>position</t>
        </is>
      </c>
      <c r="E6" s="2" t="inlineStr">
        <is>
          <t>Short</t>
        </is>
      </c>
      <c r="F6" s="2" t="inlineStr">
        <is>
          <t>Open</t>
        </is>
      </c>
      <c r="G6" s="2" t="inlineStr">
        <is>
          <t>2026-10-01</t>
        </is>
      </c>
      <c r="H6" s="2" t="inlineStr"/>
      <c r="I6" s="3" t="n">
        <v>-27</v>
      </c>
      <c r="J6" s="4" t="n">
        <v>95.87</v>
      </c>
      <c r="K6" s="4" t="n"/>
      <c r="L6" s="4" t="n">
        <v>93.56999969482422</v>
      </c>
      <c r="M6" s="5">
        <f>IFERROR(IF(E6="Short",-1,1)*(IF(K6&lt;&gt;"",K6,L6)/J6-1),"")</f>
        <v/>
      </c>
      <c r="N6" s="6">
        <f>IFERROR(I6*(IF(K6&lt;&gt;"",K6,L6)-J6),"")</f>
        <v/>
      </c>
      <c r="O6" s="7" t="n">
        <v>0.6</v>
      </c>
      <c r="P6" s="2" t="inlineStr">
        <is>
          <t>uphold</t>
        </is>
      </c>
      <c r="Q6" s="8" t="inlineStr">
        <is>
          <t>Fresh Sep 30 cash-flow skepticism and Sep 25 CEO/bylaw governance changes add to negative sentiment from Sep 3 guidance cut. With no earnings next week, LULU likely underperforms as the market questions cash durability and leadership transition.</t>
        </is>
      </c>
    </row>
    <row r="7">
      <c r="A7" s="2" t="inlineStr">
        <is>
          <t>2026-09-30</t>
        </is>
      </c>
      <c r="B7" s="2" t="inlineStr">
        <is>
          <t>STZ</t>
        </is>
      </c>
      <c r="C7" s="2" t="inlineStr">
        <is>
          <t>Constellation Brands</t>
        </is>
      </c>
      <c r="D7" s="2" t="inlineStr">
        <is>
          <t>position</t>
        </is>
      </c>
      <c r="E7" s="2" t="inlineStr">
        <is>
          <t>Short</t>
        </is>
      </c>
      <c r="F7" s="2" t="inlineStr">
        <is>
          <t>Open</t>
        </is>
      </c>
      <c r="G7" s="2" t="inlineStr">
        <is>
          <t>2026-10-01</t>
        </is>
      </c>
      <c r="H7" s="2" t="inlineStr"/>
      <c r="I7" s="3" t="n">
        <v>-5</v>
      </c>
      <c r="J7" s="4" t="n">
        <v>112.95</v>
      </c>
      <c r="K7" s="4" t="n"/>
      <c r="L7" s="4" t="n">
        <v>116.3199996948242</v>
      </c>
      <c r="M7" s="5">
        <f>IFERROR(IF(E7="Short",-1,1)*(IF(K7&lt;&gt;"",K7,L7)/J7-1),"")</f>
        <v/>
      </c>
      <c r="N7" s="6">
        <f>IFERROR(I7*(IF(K7&lt;&gt;"",K7,L7)-J7),"")</f>
        <v/>
      </c>
      <c r="O7" s="7" t="n">
        <v>0.55</v>
      </c>
      <c r="P7" s="2" t="inlineStr">
        <is>
          <t>uphold</t>
        </is>
      </c>
      <c r="Q7" s="8" t="inlineStr">
        <is>
          <t>New earnings story dominates: Q2 on Oct 6 expected EPS decline, negative ESP, and analyst target cuts. Selloff/outlook stories fading, but stock already down 12.8% in a month, so edge is modest. Binary event warrants lower confidence.</t>
        </is>
      </c>
    </row>
  </sheetData>
  <autoFilter ref="A1:Q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4" customWidth="1" min="15" max="15"/>
  </cols>
  <sheetData>
    <row r="1" ht="30" customHeight="1">
      <c r="A1" s="1" t="inlineStr">
        <is>
          <t>Week (as-of Wed)</t>
        </is>
      </c>
      <c r="B1" s="1" t="inlineStr">
        <is>
          <t>Execution day</t>
        </is>
      </c>
      <c r="C1" s="1" t="inlineStr">
        <is>
          <t>Ticker</t>
        </is>
      </c>
      <c r="D1" s="1" t="inlineStr">
        <is>
          <t>Leg</t>
        </is>
      </c>
      <c r="E1" s="1" t="inlineStr">
        <is>
          <t>Side</t>
        </is>
      </c>
      <c r="F1" s="1" t="inlineStr">
        <is>
          <t>Ordered</t>
        </is>
      </c>
      <c r="G1" s="1" t="inlineStr">
        <is>
          <t>Filled</t>
        </is>
      </c>
      <c r="H1" s="1" t="inlineStr">
        <is>
          <t>Order type</t>
        </is>
      </c>
      <c r="I1" s="1" t="inlineStr">
        <is>
          <t>Reference price ($)</t>
        </is>
      </c>
      <c r="J1" s="1" t="inlineStr">
        <is>
          <t>Status</t>
        </is>
      </c>
      <c r="K1" s="1" t="inlineStr">
        <is>
          <t>Fill price ($)</t>
        </is>
      </c>
      <c r="L1" s="1" t="inlineStr">
        <is>
          <t>Official close ($)</t>
        </is>
      </c>
      <c r="M1" s="1" t="inlineStr">
        <is>
          <t>Slippage vs close (bp)</t>
        </is>
      </c>
      <c r="N1" s="1" t="inlineStr">
        <is>
          <t>Notional ($)</t>
        </is>
      </c>
      <c r="O1" s="1" t="inlineStr">
        <is>
          <t>Client order id</t>
        </is>
      </c>
    </row>
    <row r="2">
      <c r="A2" s="2" t="inlineStr">
        <is>
          <t>2026-09-30</t>
        </is>
      </c>
      <c r="B2" s="2" t="inlineStr">
        <is>
          <t>2026-10-01</t>
        </is>
      </c>
      <c r="C2" s="2" t="inlineStr">
        <is>
          <t>AMD</t>
        </is>
      </c>
      <c r="D2" s="2" t="inlineStr">
        <is>
          <t>rebalance</t>
        </is>
      </c>
      <c r="E2" s="2" t="inlineStr">
        <is>
          <t>sell</t>
        </is>
      </c>
      <c r="F2" s="9" t="n">
        <v>5</v>
      </c>
      <c r="G2" s="9" t="n">
        <v>0</v>
      </c>
      <c r="H2" s="2" t="inlineStr">
        <is>
          <t>market-on-close</t>
        </is>
      </c>
      <c r="I2" s="4" t="n">
        <v>610.96</v>
      </c>
      <c r="J2" s="2" t="inlineStr">
        <is>
          <t>expired</t>
        </is>
      </c>
      <c r="K2" s="4" t="n"/>
      <c r="L2" s="4" t="n">
        <v>615.72998046875</v>
      </c>
      <c r="M2" s="10" t="n"/>
      <c r="N2" s="9">
        <f>IFERROR(G2*IF(K2&lt;&gt;"",K2,I2),"")</f>
        <v/>
      </c>
      <c r="O2" s="2" t="inlineStr">
        <is>
          <t>fund-2026-09-30-AMD-rebalance</t>
        </is>
      </c>
    </row>
    <row r="3">
      <c r="A3" s="2" t="inlineStr">
        <is>
          <t>2026-09-30</t>
        </is>
      </c>
      <c r="B3" s="2" t="inlineStr">
        <is>
          <t>2026-10-01</t>
        </is>
      </c>
      <c r="C3" s="2" t="inlineStr">
        <is>
          <t>AVGO</t>
        </is>
      </c>
      <c r="D3" s="2" t="inlineStr">
        <is>
          <t>rebalance</t>
        </is>
      </c>
      <c r="E3" s="2" t="inlineStr">
        <is>
          <t>sell</t>
        </is>
      </c>
      <c r="F3" s="9" t="n">
        <v>7</v>
      </c>
      <c r="G3" s="9" t="n">
        <v>0</v>
      </c>
      <c r="H3" s="2" t="inlineStr">
        <is>
          <t>market-on-close</t>
        </is>
      </c>
      <c r="I3" s="4" t="n">
        <v>347.67</v>
      </c>
      <c r="J3" s="2" t="inlineStr">
        <is>
          <t>expired</t>
        </is>
      </c>
      <c r="K3" s="4" t="n"/>
      <c r="L3" s="4" t="n">
        <v>343.6400146484375</v>
      </c>
      <c r="M3" s="10" t="n"/>
      <c r="N3" s="9">
        <f>IFERROR(G3*IF(K3&lt;&gt;"",K3,I3),"")</f>
        <v/>
      </c>
      <c r="O3" s="2" t="inlineStr">
        <is>
          <t>fund-2026-09-30-AVGO-rebalance</t>
        </is>
      </c>
    </row>
    <row r="4">
      <c r="A4" s="2" t="inlineStr">
        <is>
          <t>2026-09-30</t>
        </is>
      </c>
      <c r="B4" s="2" t="inlineStr">
        <is>
          <t>2026-10-01</t>
        </is>
      </c>
      <c r="C4" s="2" t="inlineStr">
        <is>
          <t>BRK.B</t>
        </is>
      </c>
      <c r="D4" s="2" t="inlineStr">
        <is>
          <t>rebalance</t>
        </is>
      </c>
      <c r="E4" s="2" t="inlineStr">
        <is>
          <t>sell</t>
        </is>
      </c>
      <c r="F4" s="9" t="n">
        <v>6</v>
      </c>
      <c r="G4" s="9" t="n">
        <v>4</v>
      </c>
      <c r="H4" s="2" t="inlineStr">
        <is>
          <t>market-on-close</t>
        </is>
      </c>
      <c r="I4" s="4" t="n">
        <v>498.87</v>
      </c>
      <c r="J4" s="2" t="inlineStr">
        <is>
          <t>expired</t>
        </is>
      </c>
      <c r="K4" s="4" t="n">
        <v>500.56</v>
      </c>
      <c r="L4" s="4" t="n">
        <v>500.5</v>
      </c>
      <c r="M4" s="10" t="n">
        <v>-1.19880119880067</v>
      </c>
      <c r="N4" s="9">
        <f>IFERROR(G4*IF(K4&lt;&gt;"",K4,I4),"")</f>
        <v/>
      </c>
      <c r="O4" s="2" t="inlineStr">
        <is>
          <t>fund-2026-09-30-BRK.B-rebalance</t>
        </is>
      </c>
    </row>
    <row r="5">
      <c r="A5" s="2" t="inlineStr">
        <is>
          <t>2026-09-30</t>
        </is>
      </c>
      <c r="B5" s="2" t="inlineStr">
        <is>
          <t>2026-10-01</t>
        </is>
      </c>
      <c r="C5" s="2" t="inlineStr">
        <is>
          <t>FICO</t>
        </is>
      </c>
      <c r="D5" s="2" t="inlineStr">
        <is>
          <t>rebalance</t>
        </is>
      </c>
      <c r="E5" s="2" t="inlineStr">
        <is>
          <t>sell</t>
        </is>
      </c>
      <c r="F5" s="9" t="n">
        <v>9</v>
      </c>
      <c r="G5" s="9" t="n">
        <v>0</v>
      </c>
      <c r="H5" s="2" t="inlineStr">
        <is>
          <t>market-on-close</t>
        </is>
      </c>
      <c r="I5" s="4" t="n">
        <v>653.135</v>
      </c>
      <c r="J5" s="2" t="inlineStr">
        <is>
          <t>expired</t>
        </is>
      </c>
      <c r="K5" s="4" t="n"/>
      <c r="L5" s="4" t="n">
        <v>661.75</v>
      </c>
      <c r="M5" s="10" t="n"/>
      <c r="N5" s="9">
        <f>IFERROR(G5*IF(K5&lt;&gt;"",K5,I5),"")</f>
        <v/>
      </c>
      <c r="O5" s="2" t="inlineStr">
        <is>
          <t>fund-2026-09-30-FICO-rebalance</t>
        </is>
      </c>
    </row>
    <row r="6">
      <c r="A6" s="2" t="inlineStr">
        <is>
          <t>2026-09-30</t>
        </is>
      </c>
      <c r="B6" s="2" t="inlineStr">
        <is>
          <t>2026-10-01</t>
        </is>
      </c>
      <c r="C6" s="2" t="inlineStr">
        <is>
          <t>GEV</t>
        </is>
      </c>
      <c r="D6" s="2" t="inlineStr">
        <is>
          <t>rebalance</t>
        </is>
      </c>
      <c r="E6" s="2" t="inlineStr">
        <is>
          <t>buy</t>
        </is>
      </c>
      <c r="F6" s="9" t="n">
        <v>3</v>
      </c>
      <c r="G6" s="9" t="n">
        <v>2</v>
      </c>
      <c r="H6" s="2" t="inlineStr">
        <is>
          <t>market-on-close</t>
        </is>
      </c>
      <c r="I6" s="4" t="n">
        <v>971</v>
      </c>
      <c r="J6" s="2" t="inlineStr">
        <is>
          <t>expired</t>
        </is>
      </c>
      <c r="K6" s="4" t="n">
        <v>987.38</v>
      </c>
      <c r="L6" s="4" t="n">
        <v>987.4500122070312</v>
      </c>
      <c r="M6" s="10" t="n">
        <v>-0.709020265995397</v>
      </c>
      <c r="N6" s="9">
        <f>IFERROR(G6*IF(K6&lt;&gt;"",K6,I6),"")</f>
        <v/>
      </c>
      <c r="O6" s="2" t="inlineStr">
        <is>
          <t>fund-2026-09-30-GEV-rebalance</t>
        </is>
      </c>
    </row>
    <row r="7">
      <c r="A7" s="2" t="inlineStr">
        <is>
          <t>2026-09-30</t>
        </is>
      </c>
      <c r="B7" s="2" t="inlineStr">
        <is>
          <t>2026-10-01</t>
        </is>
      </c>
      <c r="C7" s="2" t="inlineStr">
        <is>
          <t>HPE</t>
        </is>
      </c>
      <c r="D7" s="2" t="inlineStr">
        <is>
          <t>rebalance</t>
        </is>
      </c>
      <c r="E7" s="2" t="inlineStr">
        <is>
          <t>buy</t>
        </is>
      </c>
      <c r="F7" s="9" t="n">
        <v>49</v>
      </c>
      <c r="G7" s="9" t="n">
        <v>0</v>
      </c>
      <c r="H7" s="2" t="inlineStr">
        <is>
          <t>market-on-close</t>
        </is>
      </c>
      <c r="I7" s="4" t="n">
        <v>64.23999999999999</v>
      </c>
      <c r="J7" s="2" t="inlineStr">
        <is>
          <t>expired</t>
        </is>
      </c>
      <c r="K7" s="4" t="n"/>
      <c r="L7" s="4" t="n">
        <v>64.58000183105469</v>
      </c>
      <c r="M7" s="10" t="n"/>
      <c r="N7" s="9">
        <f>IFERROR(G7*IF(K7&lt;&gt;"",K7,I7),"")</f>
        <v/>
      </c>
      <c r="O7" s="2" t="inlineStr">
        <is>
          <t>fund-2026-09-30-HPE-rebalance</t>
        </is>
      </c>
    </row>
    <row r="8">
      <c r="A8" s="2" t="inlineStr">
        <is>
          <t>2026-09-30</t>
        </is>
      </c>
      <c r="B8" s="2" t="inlineStr">
        <is>
          <t>2026-10-01</t>
        </is>
      </c>
      <c r="C8" s="2" t="inlineStr">
        <is>
          <t>HRL</t>
        </is>
      </c>
      <c r="D8" s="2" t="inlineStr">
        <is>
          <t>rebalance</t>
        </is>
      </c>
      <c r="E8" s="2" t="inlineStr">
        <is>
          <t>sell</t>
        </is>
      </c>
      <c r="F8" s="9" t="n">
        <v>151</v>
      </c>
      <c r="G8" s="9" t="n">
        <v>0</v>
      </c>
      <c r="H8" s="2" t="inlineStr">
        <is>
          <t>market-on-close</t>
        </is>
      </c>
      <c r="I8" s="4" t="n">
        <v>19.855</v>
      </c>
      <c r="J8" s="2" t="inlineStr">
        <is>
          <t>expired</t>
        </is>
      </c>
      <c r="K8" s="4" t="n"/>
      <c r="L8" s="4" t="n">
        <v>19.95999908447266</v>
      </c>
      <c r="M8" s="10" t="n"/>
      <c r="N8" s="9">
        <f>IFERROR(G8*IF(K8&lt;&gt;"",K8,I8),"")</f>
        <v/>
      </c>
      <c r="O8" s="2" t="inlineStr">
        <is>
          <t>fund-2026-09-30-HRL-rebalance</t>
        </is>
      </c>
    </row>
    <row r="9">
      <c r="A9" s="2" t="inlineStr">
        <is>
          <t>2026-09-30</t>
        </is>
      </c>
      <c r="B9" s="2" t="inlineStr">
        <is>
          <t>2026-10-01</t>
        </is>
      </c>
      <c r="C9" s="2" t="inlineStr">
        <is>
          <t>LITE</t>
        </is>
      </c>
      <c r="D9" s="2" t="inlineStr">
        <is>
          <t>rebalance</t>
        </is>
      </c>
      <c r="E9" s="2" t="inlineStr">
        <is>
          <t>buy</t>
        </is>
      </c>
      <c r="F9" s="9" t="n">
        <v>3</v>
      </c>
      <c r="G9" s="9" t="n">
        <v>0</v>
      </c>
      <c r="H9" s="2" t="inlineStr">
        <is>
          <t>market-on-close</t>
        </is>
      </c>
      <c r="I9" s="4" t="n">
        <v>1054.455</v>
      </c>
      <c r="J9" s="2" t="inlineStr">
        <is>
          <t>expired</t>
        </is>
      </c>
      <c r="K9" s="4" t="n"/>
      <c r="L9" s="4" t="n">
        <v>1045.780029296875</v>
      </c>
      <c r="M9" s="10" t="n"/>
      <c r="N9" s="9">
        <f>IFERROR(G9*IF(K9&lt;&gt;"",K9,I9),"")</f>
        <v/>
      </c>
      <c r="O9" s="2" t="inlineStr">
        <is>
          <t>fund-2026-09-30-LITE-rebalance</t>
        </is>
      </c>
    </row>
    <row r="10">
      <c r="A10" s="2" t="inlineStr">
        <is>
          <t>2026-09-30</t>
        </is>
      </c>
      <c r="B10" s="2" t="inlineStr">
        <is>
          <t>2026-10-01</t>
        </is>
      </c>
      <c r="C10" s="2" t="inlineStr">
        <is>
          <t>LLY</t>
        </is>
      </c>
      <c r="D10" s="2" t="inlineStr">
        <is>
          <t>rebalance</t>
        </is>
      </c>
      <c r="E10" s="2" t="inlineStr">
        <is>
          <t>buy</t>
        </is>
      </c>
      <c r="F10" s="9" t="n">
        <v>3</v>
      </c>
      <c r="G10" s="9" t="n">
        <v>0</v>
      </c>
      <c r="H10" s="2" t="inlineStr">
        <is>
          <t>market-on-close</t>
        </is>
      </c>
      <c r="I10" s="4" t="n">
        <v>1143.745</v>
      </c>
      <c r="J10" s="2" t="inlineStr">
        <is>
          <t>expired</t>
        </is>
      </c>
      <c r="K10" s="4" t="n"/>
      <c r="L10" s="4" t="n">
        <v>1149.849975585938</v>
      </c>
      <c r="M10" s="10" t="n"/>
      <c r="N10" s="9">
        <f>IFERROR(G10*IF(K10&lt;&gt;"",K10,I10),"")</f>
        <v/>
      </c>
      <c r="O10" s="2" t="inlineStr">
        <is>
          <t>fund-2026-09-30-LLY-rebalance</t>
        </is>
      </c>
    </row>
    <row r="11">
      <c r="A11" s="2" t="inlineStr">
        <is>
          <t>2026-09-30</t>
        </is>
      </c>
      <c r="B11" s="2" t="inlineStr">
        <is>
          <t>2026-10-01</t>
        </is>
      </c>
      <c r="C11" s="2" t="inlineStr">
        <is>
          <t>LULU</t>
        </is>
      </c>
      <c r="D11" s="2" t="inlineStr">
        <is>
          <t>rebalance</t>
        </is>
      </c>
      <c r="E11" s="2" t="inlineStr">
        <is>
          <t>sell</t>
        </is>
      </c>
      <c r="F11" s="9" t="n">
        <v>31</v>
      </c>
      <c r="G11" s="9" t="n">
        <v>27</v>
      </c>
      <c r="H11" s="2" t="inlineStr">
        <is>
          <t>market-on-close</t>
        </is>
      </c>
      <c r="I11" s="4" t="n">
        <v>97.37</v>
      </c>
      <c r="J11" s="2" t="inlineStr">
        <is>
          <t>expired</t>
        </is>
      </c>
      <c r="K11" s="4" t="n">
        <v>95.87</v>
      </c>
      <c r="L11" s="4" t="n">
        <v>95.86000061035156</v>
      </c>
      <c r="M11" s="10" t="n">
        <v>-1.043124304691556</v>
      </c>
      <c r="N11" s="9">
        <f>IFERROR(G11*IF(K11&lt;&gt;"",K11,I11),"")</f>
        <v/>
      </c>
      <c r="O11" s="2" t="inlineStr">
        <is>
          <t>fund-2026-09-30-LULU-rebalance</t>
        </is>
      </c>
    </row>
    <row r="12">
      <c r="A12" s="2" t="inlineStr">
        <is>
          <t>2026-09-30</t>
        </is>
      </c>
      <c r="B12" s="2" t="inlineStr">
        <is>
          <t>2026-10-01</t>
        </is>
      </c>
      <c r="C12" s="2" t="inlineStr">
        <is>
          <t>MU</t>
        </is>
      </c>
      <c r="D12" s="2" t="inlineStr">
        <is>
          <t>rebalance</t>
        </is>
      </c>
      <c r="E12" s="2" t="inlineStr">
        <is>
          <t>buy</t>
        </is>
      </c>
      <c r="F12" s="9" t="n">
        <v>3</v>
      </c>
      <c r="G12" s="9" t="n">
        <v>2</v>
      </c>
      <c r="H12" s="2" t="inlineStr">
        <is>
          <t>market-on-close</t>
        </is>
      </c>
      <c r="I12" s="4" t="n">
        <v>1047.22</v>
      </c>
      <c r="J12" s="2" t="inlineStr">
        <is>
          <t>expired</t>
        </is>
      </c>
      <c r="K12" s="4" t="n">
        <v>1097.61</v>
      </c>
      <c r="L12" s="4" t="n">
        <v>1097.390014648438</v>
      </c>
      <c r="M12" s="10" t="n">
        <v>2.004623229898694</v>
      </c>
      <c r="N12" s="9">
        <f>IFERROR(G12*IF(K12&lt;&gt;"",K12,I12),"")</f>
        <v/>
      </c>
      <c r="O12" s="2" t="inlineStr">
        <is>
          <t>fund-2026-09-30-MU-rebalance</t>
        </is>
      </c>
    </row>
    <row r="13">
      <c r="A13" s="2" t="inlineStr">
        <is>
          <t>2026-09-30</t>
        </is>
      </c>
      <c r="B13" s="2" t="inlineStr">
        <is>
          <t>2026-10-01</t>
        </is>
      </c>
      <c r="C13" s="2" t="inlineStr">
        <is>
          <t>NFLX</t>
        </is>
      </c>
      <c r="D13" s="2" t="inlineStr">
        <is>
          <t>rebalance</t>
        </is>
      </c>
      <c r="E13" s="2" t="inlineStr">
        <is>
          <t>buy</t>
        </is>
      </c>
      <c r="F13" s="9" t="n">
        <v>39</v>
      </c>
      <c r="G13" s="9" t="n">
        <v>24</v>
      </c>
      <c r="H13" s="2" t="inlineStr">
        <is>
          <t>market-on-close</t>
        </is>
      </c>
      <c r="I13" s="4" t="n">
        <v>68</v>
      </c>
      <c r="J13" s="2" t="inlineStr">
        <is>
          <t>expired</t>
        </is>
      </c>
      <c r="K13" s="4" t="n">
        <v>67.84999999999999</v>
      </c>
      <c r="L13" s="4" t="n">
        <v>67.84999847412109</v>
      </c>
      <c r="M13" s="10" t="n">
        <v>0.0002248900421442</v>
      </c>
      <c r="N13" s="9">
        <f>IFERROR(G13*IF(K13&lt;&gt;"",K13,I13),"")</f>
        <v/>
      </c>
      <c r="O13" s="2" t="inlineStr">
        <is>
          <t>fund-2026-09-30-NFLX-rebalance</t>
        </is>
      </c>
    </row>
    <row r="14">
      <c r="A14" s="2" t="inlineStr">
        <is>
          <t>2026-09-30</t>
        </is>
      </c>
      <c r="B14" s="2" t="inlineStr">
        <is>
          <t>2026-10-01</t>
        </is>
      </c>
      <c r="C14" s="2" t="inlineStr">
        <is>
          <t>NVDA</t>
        </is>
      </c>
      <c r="D14" s="2" t="inlineStr">
        <is>
          <t>rebalance</t>
        </is>
      </c>
      <c r="E14" s="2" t="inlineStr">
        <is>
          <t>buy</t>
        </is>
      </c>
      <c r="F14" s="9" t="n">
        <v>14</v>
      </c>
      <c r="G14" s="9" t="n">
        <v>0</v>
      </c>
      <c r="H14" s="2" t="inlineStr">
        <is>
          <t>market-on-close</t>
        </is>
      </c>
      <c r="I14" s="4" t="n">
        <v>230.055</v>
      </c>
      <c r="J14" s="2" t="inlineStr">
        <is>
          <t>expired</t>
        </is>
      </c>
      <c r="K14" s="4" t="n"/>
      <c r="L14" s="4" t="n">
        <v>230.8600006103516</v>
      </c>
      <c r="M14" s="10" t="n"/>
      <c r="N14" s="9">
        <f>IFERROR(G14*IF(K14&lt;&gt;"",K14,I14),"")</f>
        <v/>
      </c>
      <c r="O14" s="2" t="inlineStr">
        <is>
          <t>fund-2026-09-30-NVDA-rebalance</t>
        </is>
      </c>
    </row>
    <row r="15">
      <c r="A15" s="2" t="inlineStr">
        <is>
          <t>2026-09-30</t>
        </is>
      </c>
      <c r="B15" s="2" t="inlineStr">
        <is>
          <t>2026-10-01</t>
        </is>
      </c>
      <c r="C15" s="2" t="inlineStr">
        <is>
          <t>ORCL</t>
        </is>
      </c>
      <c r="D15" s="2" t="inlineStr">
        <is>
          <t>rebalance</t>
        </is>
      </c>
      <c r="E15" s="2" t="inlineStr">
        <is>
          <t>sell</t>
        </is>
      </c>
      <c r="F15" s="9" t="n">
        <v>23</v>
      </c>
      <c r="G15" s="9" t="n">
        <v>0</v>
      </c>
      <c r="H15" s="2" t="inlineStr">
        <is>
          <t>market-on-close</t>
        </is>
      </c>
      <c r="I15" s="4" t="n">
        <v>136.495</v>
      </c>
      <c r="J15" s="2" t="inlineStr">
        <is>
          <t>expired</t>
        </is>
      </c>
      <c r="K15" s="4" t="n"/>
      <c r="L15" s="4" t="n">
        <v>138.0700073242188</v>
      </c>
      <c r="M15" s="10" t="n"/>
      <c r="N15" s="9">
        <f>IFERROR(G15*IF(K15&lt;&gt;"",K15,I15),"")</f>
        <v/>
      </c>
      <c r="O15" s="2" t="inlineStr">
        <is>
          <t>fund-2026-09-30-ORCL-rebalance</t>
        </is>
      </c>
    </row>
    <row r="16">
      <c r="A16" s="2" t="inlineStr">
        <is>
          <t>2026-09-30</t>
        </is>
      </c>
      <c r="B16" s="2" t="inlineStr">
        <is>
          <t>2026-10-01</t>
        </is>
      </c>
      <c r="C16" s="2" t="inlineStr">
        <is>
          <t>RTX</t>
        </is>
      </c>
      <c r="D16" s="2" t="inlineStr">
        <is>
          <t>rebalance</t>
        </is>
      </c>
      <c r="E16" s="2" t="inlineStr">
        <is>
          <t>buy</t>
        </is>
      </c>
      <c r="F16" s="9" t="n">
        <v>16</v>
      </c>
      <c r="G16" s="9" t="n">
        <v>0</v>
      </c>
      <c r="H16" s="2" t="inlineStr">
        <is>
          <t>market-on-close</t>
        </is>
      </c>
      <c r="I16" s="4" t="n">
        <v>185.3</v>
      </c>
      <c r="J16" s="2" t="inlineStr">
        <is>
          <t>expired</t>
        </is>
      </c>
      <c r="K16" s="4" t="n"/>
      <c r="L16" s="4" t="n">
        <v>185.0099945068359</v>
      </c>
      <c r="M16" s="10" t="n"/>
      <c r="N16" s="9">
        <f>IFERROR(G16*IF(K16&lt;&gt;"",K16,I16),"")</f>
        <v/>
      </c>
      <c r="O16" s="2" t="inlineStr">
        <is>
          <t>fund-2026-09-30-RTX-rebalance</t>
        </is>
      </c>
    </row>
    <row r="17">
      <c r="A17" s="2" t="inlineStr">
        <is>
          <t>2026-09-30</t>
        </is>
      </c>
      <c r="B17" s="2" t="inlineStr">
        <is>
          <t>2026-10-01</t>
        </is>
      </c>
      <c r="C17" s="2" t="inlineStr">
        <is>
          <t>SNDK</t>
        </is>
      </c>
      <c r="D17" s="2" t="inlineStr">
        <is>
          <t>rebalance</t>
        </is>
      </c>
      <c r="E17" s="2" t="inlineStr">
        <is>
          <t>buy</t>
        </is>
      </c>
      <c r="F17" s="9" t="n">
        <v>3</v>
      </c>
      <c r="G17" s="9" t="n">
        <v>0</v>
      </c>
      <c r="H17" s="2" t="inlineStr">
        <is>
          <t>market-on-close</t>
        </is>
      </c>
      <c r="I17" s="4" t="n">
        <v>1745.26</v>
      </c>
      <c r="J17" s="2" t="inlineStr">
        <is>
          <t>expired</t>
        </is>
      </c>
      <c r="K17" s="4" t="n"/>
      <c r="L17" s="4" t="n">
        <v>1787.68994140625</v>
      </c>
      <c r="M17" s="10" t="n"/>
      <c r="N17" s="9">
        <f>IFERROR(G17*IF(K17&lt;&gt;"",K17,I17),"")</f>
        <v/>
      </c>
      <c r="O17" s="2" t="inlineStr">
        <is>
          <t>fund-2026-09-30-SNDK-rebalance</t>
        </is>
      </c>
    </row>
    <row r="18">
      <c r="A18" s="2" t="inlineStr">
        <is>
          <t>2026-09-30</t>
        </is>
      </c>
      <c r="B18" s="2" t="inlineStr">
        <is>
          <t>2026-10-01</t>
        </is>
      </c>
      <c r="C18" s="2" t="inlineStr">
        <is>
          <t>SPY</t>
        </is>
      </c>
      <c r="D18" s="2" t="inlineStr">
        <is>
          <t>rebalance</t>
        </is>
      </c>
      <c r="E18" s="2" t="inlineStr">
        <is>
          <t>sell</t>
        </is>
      </c>
      <c r="F18" s="9" t="n">
        <v>21</v>
      </c>
      <c r="G18" s="9" t="n">
        <v>0</v>
      </c>
      <c r="H18" s="2" t="inlineStr">
        <is>
          <t>market-on-close</t>
        </is>
      </c>
      <c r="I18" s="4" t="n">
        <v>761.04</v>
      </c>
      <c r="J18" s="2" t="inlineStr">
        <is>
          <t>expired</t>
        </is>
      </c>
      <c r="K18" s="4" t="n"/>
      <c r="L18" s="4" t="n">
        <v>763.989990234375</v>
      </c>
      <c r="M18" s="10" t="n"/>
      <c r="N18" s="9">
        <f>IFERROR(G18*IF(K18&lt;&gt;"",K18,I18),"")</f>
        <v/>
      </c>
      <c r="O18" s="2" t="inlineStr">
        <is>
          <t>fund-2026-09-30-SPY-rebalance</t>
        </is>
      </c>
    </row>
    <row r="19">
      <c r="A19" s="2" t="inlineStr">
        <is>
          <t>2026-09-30</t>
        </is>
      </c>
      <c r="B19" s="2" t="inlineStr">
        <is>
          <t>2026-10-01</t>
        </is>
      </c>
      <c r="C19" s="2" t="inlineStr">
        <is>
          <t>STZ</t>
        </is>
      </c>
      <c r="D19" s="2" t="inlineStr">
        <is>
          <t>rebalance</t>
        </is>
      </c>
      <c r="E19" s="2" t="inlineStr">
        <is>
          <t>sell</t>
        </is>
      </c>
      <c r="F19" s="9" t="n">
        <v>24</v>
      </c>
      <c r="G19" s="9" t="n">
        <v>5</v>
      </c>
      <c r="H19" s="2" t="inlineStr">
        <is>
          <t>market-on-close</t>
        </is>
      </c>
      <c r="I19" s="4" t="n">
        <v>112.85</v>
      </c>
      <c r="J19" s="2" t="inlineStr">
        <is>
          <t>expired</t>
        </is>
      </c>
      <c r="K19" s="4" t="n">
        <v>112.95</v>
      </c>
      <c r="L19" s="4" t="n">
        <v>112.9899978637695</v>
      </c>
      <c r="M19" s="10" t="n">
        <v>3.539947298498713</v>
      </c>
      <c r="N19" s="9">
        <f>IFERROR(G19*IF(K19&lt;&gt;"",K19,I19),"")</f>
        <v/>
      </c>
      <c r="O19" s="2" t="inlineStr">
        <is>
          <t>fund-2026-09-30-STZ-rebalance</t>
        </is>
      </c>
    </row>
    <row r="20">
      <c r="A20" s="2" t="inlineStr">
        <is>
          <t>2026-09-30</t>
        </is>
      </c>
      <c r="B20" s="2" t="inlineStr">
        <is>
          <t>2026-10-01</t>
        </is>
      </c>
      <c r="C20" s="2" t="inlineStr">
        <is>
          <t>WBD</t>
        </is>
      </c>
      <c r="D20" s="2" t="inlineStr">
        <is>
          <t>rebalance</t>
        </is>
      </c>
      <c r="E20" s="2" t="inlineStr">
        <is>
          <t>buy</t>
        </is>
      </c>
      <c r="F20" s="9" t="n">
        <v>225</v>
      </c>
      <c r="G20" s="9" t="n">
        <v>0</v>
      </c>
      <c r="H20" s="2" t="inlineStr">
        <is>
          <t>market-on-close</t>
        </is>
      </c>
      <c r="I20" s="4" t="n">
        <v>30.935</v>
      </c>
      <c r="J20" s="2" t="inlineStr">
        <is>
          <t>expired</t>
        </is>
      </c>
      <c r="K20" s="4" t="n"/>
      <c r="L20" s="4" t="n">
        <v>30.95000076293945</v>
      </c>
      <c r="M20" s="10" t="n"/>
      <c r="N20" s="9">
        <f>IFERROR(G20*IF(K20&lt;&gt;"",K20,I20),"")</f>
        <v/>
      </c>
      <c r="O20" s="2" t="inlineStr">
        <is>
          <t>fund-2026-09-30-WBD-rebalance</t>
        </is>
      </c>
    </row>
    <row r="21">
      <c r="A21" s="2" t="inlineStr">
        <is>
          <t>2026-09-30</t>
        </is>
      </c>
      <c r="B21" s="2" t="inlineStr">
        <is>
          <t>2026-10-01</t>
        </is>
      </c>
      <c r="C21" s="2" t="inlineStr">
        <is>
          <t>WMT</t>
        </is>
      </c>
      <c r="D21" s="2" t="inlineStr">
        <is>
          <t>rebalance</t>
        </is>
      </c>
      <c r="E21" s="2" t="inlineStr">
        <is>
          <t>sell</t>
        </is>
      </c>
      <c r="F21" s="9" t="n">
        <v>24</v>
      </c>
      <c r="G21" s="9" t="n">
        <v>0</v>
      </c>
      <c r="H21" s="2" t="inlineStr">
        <is>
          <t>market-on-close</t>
        </is>
      </c>
      <c r="I21" s="4" t="n">
        <v>104.79</v>
      </c>
      <c r="J21" s="2" t="inlineStr">
        <is>
          <t>expired</t>
        </is>
      </c>
      <c r="K21" s="4" t="n"/>
      <c r="L21" s="4" t="n">
        <v>104.2600021362305</v>
      </c>
      <c r="M21" s="10" t="n"/>
      <c r="N21" s="9">
        <f>IFERROR(G21*IF(K21&lt;&gt;"",K21,I21),"")</f>
        <v/>
      </c>
      <c r="O21" s="2" t="inlineStr">
        <is>
          <t>fund-2026-09-30-WMT-rebalance</t>
        </is>
      </c>
    </row>
  </sheetData>
  <autoFilter ref="A1:O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</cols>
  <sheetData>
    <row r="1" ht="30" customHeight="1">
      <c r="A1" s="1" t="inlineStr">
        <is>
          <t>Day</t>
        </is>
      </c>
      <c r="B1" s="1" t="inlineStr">
        <is>
          <t>Paper account value ($)</t>
        </is>
      </c>
      <c r="C1" s="1" t="inlineStr">
        <is>
          <t>Daily return (%)</t>
        </is>
      </c>
      <c r="D1" s="1" t="inlineStr">
        <is>
          <t>Since first trade (%)</t>
        </is>
      </c>
    </row>
    <row r="2">
      <c r="A2" s="2" t="inlineStr">
        <is>
          <t>2026-10-01</t>
        </is>
      </c>
      <c r="B2" s="11" t="n">
        <v>100000</v>
      </c>
      <c r="C2" s="5" t="inlineStr"/>
      <c r="D2" s="5">
        <f>B2/$B$2-1</f>
        <v/>
      </c>
    </row>
    <row r="3">
      <c r="A3" s="2" t="inlineStr">
        <is>
          <t>2026-10-02</t>
        </is>
      </c>
      <c r="B3" s="11" t="n">
        <v>99999.89</v>
      </c>
      <c r="C3" s="5">
        <f>B3/B2-1</f>
        <v/>
      </c>
      <c r="D3" s="5">
        <f>B3/$B$2-1</f>
        <v/>
      </c>
    </row>
    <row r="4">
      <c r="A4" s="2" t="inlineStr">
        <is>
          <t>2026-10-03</t>
        </is>
      </c>
      <c r="B4" s="11" t="n">
        <v>99968.23</v>
      </c>
      <c r="C4" s="5">
        <f>B4/B3-1</f>
        <v/>
      </c>
      <c r="D4" s="5">
        <f>B4/$B$2-1</f>
        <v/>
      </c>
    </row>
  </sheetData>
  <autoFilter ref="A1:D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" t="inlineStr">
        <is>
          <t>Date</t>
        </is>
      </c>
      <c r="B1" s="1" t="inlineStr">
        <is>
          <t>Type</t>
        </is>
      </c>
      <c r="C1" s="1" t="inlineStr">
        <is>
          <t>Ticker</t>
        </is>
      </c>
      <c r="D1" s="1" t="inlineStr">
        <is>
          <t>Quantity</t>
        </is>
      </c>
      <c r="E1" s="1" t="inlineStr">
        <is>
          <t>Per share ($)</t>
        </is>
      </c>
      <c r="F1" s="1" t="inlineStr">
        <is>
          <t>Amount ($)</t>
        </is>
      </c>
    </row>
    <row r="2">
      <c r="A2" s="2" t="inlineStr">
        <is>
          <t>2026-10-01</t>
        </is>
      </c>
      <c r="B2" s="2" t="inlineStr">
        <is>
          <t>FEE</t>
        </is>
      </c>
      <c r="C2" s="2" t="n"/>
      <c r="D2" s="9" t="n"/>
      <c r="E2" s="12" t="n"/>
      <c r="F2" s="13" t="n">
        <v>-0.11</v>
      </c>
    </row>
    <row r="3">
      <c r="A3" s="2" t="inlineStr">
        <is>
          <t>2026-10-01</t>
        </is>
      </c>
      <c r="B3" s="2" t="inlineStr">
        <is>
          <t>FEE</t>
        </is>
      </c>
      <c r="C3" s="2" t="n"/>
      <c r="D3" s="9" t="n"/>
      <c r="E3" s="12" t="n"/>
      <c r="F3" s="13" t="n">
        <v>-0.01</v>
      </c>
    </row>
  </sheetData>
  <autoFilter ref="A1:F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" t="inlineStr">
        <is>
          <t>Fund position ledger (Protocol 6). Actual Alpaca paper-account trades only: weeks that were not executed, and model-only books, are left out. Rebuilt automatically after each weekly run and each execution/reconciliation; do not edit.</t>
        </is>
      </c>
    </row>
    <row r="2">
      <c r="A2" s="2" t="inlineStr">
        <is>
          <t>Positions: one row per lot: a name held for a week, split where a daily review changed the shares (exit, reduce or increase at that day's close). The book is re-decided every Wednesday and traded at the next session's close (market-on-close).</t>
        </is>
      </c>
    </row>
    <row r="3">
      <c r="A3" s="2" t="inlineStr">
        <is>
          <t>Entry price: the fill if the name traded on the execution day, otherwise that day's official close. Exit price: the next execution day's official close.</t>
        </is>
      </c>
    </row>
    <row r="4">
      <c r="A4" s="2" t="inlineStr">
        <is>
          <t>Status Open: the week has not ended; Return and P&amp;L use the Current price (latest close). Returns are price returns, dividends excluded, before costs.</t>
        </is>
      </c>
    </row>
    <row r="5">
      <c r="A5" s="2" t="inlineStr">
        <is>
          <t>P&amp;L ($): signed shares x (exit or current price - entry). Lot boundaries use the actual Alpaca fill of the order traded there (weekly or daily review), else the official close, so lot P&amp;Ls add up to the account's trading P&amp;L.</t>
        </is>
      </c>
    </row>
    <row r="6">
      <c r="A6" s="2" t="inlineStr">
        <is>
          <t>Cash activity: dividends received on longs and paid on shorts, fees and interest from Alpaca; together with P&amp;L they explain the Account sheet's value.</t>
        </is>
      </c>
    </row>
    <row r="7">
      <c r="A7" s="2" t="inlineStr">
        <is>
          <t>Account sheet: the paper account's daily value from Alpaca, from the first trade on.</t>
        </is>
      </c>
    </row>
    <row r="8">
      <c r="A8" s="2" t="inlineStr">
        <is>
          <t>Confidence: the analyst's confidence (0-1); Red team: uphold or weaken. SPY rows are the beta hedge.</t>
        </is>
      </c>
    </row>
    <row r="9">
      <c r="A9" s="2" t="inlineStr">
        <is>
          <t>Source records: fund-data branch, fund_state/live/&lt;week&gt;/ (book.json, execution.json, analysts.json, redteam.json) and fund_state/live/execution/fills.csv.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2026-10-06T20:00:10Z</dcterms:created>
  <dcterms:modified xmlns:dcterms="http://purl.org/dc/terms/" xmlns:xsi="http://www.w3.org/2001/XMLSchema-instance" xsi:type="dcterms:W3CDTF">2026-10-06T20:00:10Z</dcterms:modified>
</cp:coreProperties>
</file>