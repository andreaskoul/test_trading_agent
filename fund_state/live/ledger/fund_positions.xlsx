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'Positions'!$A$1:$Q$33</definedName>
    <definedName name="_xlnm._FilterDatabase" localSheetId="1" hidden="1">'Orders'!$A$1:$O$50</definedName>
    <definedName name="_xlnm._FilterDatabase" localSheetId="2" hidden="1">'Account'!$A$1:$D$7</definedName>
    <definedName name="_xlnm._FilterDatabase" localSheetId="3" hidden="1">'Cash activity'!$A$1:$F$6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
    <numFmt numFmtId="170" formatCode="#,##0.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3" t="n">
        <v>-1</v>
      </c>
      <c r="J2" s="4" t="n">
        <v>777.3</v>
      </c>
      <c r="K2" s="4" t="n">
        <v>773.95</v>
      </c>
      <c r="L2" s="4" t="n">
        <v>778.4450073242188</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3" t="n">
        <v>2</v>
      </c>
      <c r="J3" s="4" t="n">
        <v>987.38</v>
      </c>
      <c r="K3" s="4" t="n">
        <v>998.54</v>
      </c>
      <c r="L3" s="4" t="n">
        <v>1004.559997558594</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1029.099975585938</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3" t="n">
        <v>1</v>
      </c>
      <c r="J5" s="4" t="n">
        <v>1086.75</v>
      </c>
      <c r="K5" s="4" t="n">
        <v>1036.16</v>
      </c>
      <c r="L5" s="4" t="n">
        <v>1029.099975585938</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3" t="n">
        <v>24</v>
      </c>
      <c r="J6" s="4" t="n">
        <v>67.84999999999999</v>
      </c>
      <c r="K6" s="4" t="n">
        <v>71.59</v>
      </c>
      <c r="L6" s="4" t="n">
        <v>70.28500366210938</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3" t="n">
        <v>-4</v>
      </c>
      <c r="J7" s="4" t="n">
        <v>500.56</v>
      </c>
      <c r="K7" s="4" t="n">
        <v>511.0499877929688</v>
      </c>
      <c r="L7" s="4" t="n">
        <v>515.5900268554688</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3" t="n">
        <v>-27</v>
      </c>
      <c r="J8" s="4" t="n">
        <v>95.87</v>
      </c>
      <c r="K8" s="4" t="n">
        <v>92.70999999999999</v>
      </c>
      <c r="L8" s="4" t="n">
        <v>94.51999664306641</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122.4700012207031</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3" t="n">
        <v>-29</v>
      </c>
      <c r="J10" s="4" t="n">
        <v>773.95</v>
      </c>
      <c r="K10" s="4" t="n">
        <v>778.4299926757812</v>
      </c>
      <c r="L10" s="4" t="n">
        <v>778.4450073242188</v>
      </c>
      <c r="M10" s="5">
        <f>IFERROR(IF(E10="Short",-1,1)*(IF(K10&lt;&gt;"",K10,L10)/J10-1),"")</f>
        <v/>
      </c>
      <c r="N10" s="6">
        <f>IFERROR(I10*(IF(K10&lt;&gt;"",K10,L10)-J10),"")</f>
        <v/>
      </c>
      <c r="O10" s="7" t="n"/>
      <c r="P10" s="2" t="n"/>
      <c r="Q10" s="8"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3" t="n">
        <v>-25</v>
      </c>
      <c r="J11" s="4" t="n">
        <v>778.4299926757812</v>
      </c>
      <c r="K11" s="4" t="n"/>
      <c r="L11" s="4" t="n">
        <v>778.4450073242188</v>
      </c>
      <c r="M11" s="5">
        <f>IFERROR(IF(E11="Short",-1,1)*(IF(K11&lt;&gt;"",K11,L11)/J11-1),"")</f>
        <v/>
      </c>
      <c r="N11" s="6">
        <f>IFERROR(I11*(IF(K11&lt;&gt;"",K11,L11)-J11),"")</f>
        <v/>
      </c>
      <c r="O11" s="7" t="n"/>
      <c r="P11" s="2" t="n"/>
      <c r="Q11" s="8"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3" t="n">
        <v>4</v>
      </c>
      <c r="J12" s="4" t="n">
        <v>621.12</v>
      </c>
      <c r="K12" s="4" t="n"/>
      <c r="L12" s="4" t="n">
        <v>608.0800170898438</v>
      </c>
      <c r="M12" s="5">
        <f>IFERROR(IF(E12="Short",-1,1)*(IF(K12&lt;&gt;"",K12,L12)/J12-1),"")</f>
        <v/>
      </c>
      <c r="N12" s="6">
        <f>IFERROR(I12*(IF(K12&lt;&gt;"",K12,L12)-J12),"")</f>
        <v/>
      </c>
      <c r="O12" s="7" t="n">
        <v>0.55</v>
      </c>
      <c r="P12" s="2" t="inlineStr">
        <is>
          <t>weaken</t>
        </is>
      </c>
      <c r="Q12"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3" t="n">
        <v>7</v>
      </c>
      <c r="J13" s="4" t="n">
        <v>360.361429</v>
      </c>
      <c r="K13" s="4" t="n">
        <v>361.5400085449219</v>
      </c>
      <c r="L13" s="4" t="n">
        <v>361.5499877929688</v>
      </c>
      <c r="M13" s="5">
        <f>IFERROR(IF(E13="Short",-1,1)*(IF(K13&lt;&gt;"",K13,L13)/J13-1),"")</f>
        <v/>
      </c>
      <c r="N13" s="6">
        <f>IFERROR(I13*(IF(K13&lt;&gt;"",K13,L13)-J13),"")</f>
        <v/>
      </c>
      <c r="O13" s="7" t="n">
        <v>0.55</v>
      </c>
      <c r="P13" s="2" t="inlineStr">
        <is>
          <t>uphold</t>
        </is>
      </c>
      <c r="Q13"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3" t="n">
        <v>4</v>
      </c>
      <c r="J14" s="4" t="n">
        <v>361.5400085449219</v>
      </c>
      <c r="K14" s="4" t="n"/>
      <c r="L14" s="4" t="n">
        <v>361.5499877929688</v>
      </c>
      <c r="M14" s="5">
        <f>IFERROR(IF(E14="Short",-1,1)*(IF(K14&lt;&gt;"",K14,L14)/J14-1),"")</f>
        <v/>
      </c>
      <c r="N14" s="6">
        <f>IFERROR(I14*(IF(K14&lt;&gt;"",K14,L14)-J14),"")</f>
        <v/>
      </c>
      <c r="O14" s="7" t="n">
        <v>0.55</v>
      </c>
      <c r="P14" s="2" t="inlineStr">
        <is>
          <t>uphold</t>
        </is>
      </c>
      <c r="Q14"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3" t="n">
        <v>33</v>
      </c>
      <c r="J15" s="4" t="n">
        <v>187.69</v>
      </c>
      <c r="K15" s="4" t="n"/>
      <c r="L15" s="4" t="n">
        <v>190.4900054931641</v>
      </c>
      <c r="M15" s="5">
        <f>IFERROR(IF(E15="Short",-1,1)*(IF(K15&lt;&gt;"",K15,L15)/J15-1),"")</f>
        <v/>
      </c>
      <c r="N15" s="6">
        <f>IFERROR(I15*(IF(K15&lt;&gt;"",K15,L15)-J15),"")</f>
        <v/>
      </c>
      <c r="O15" s="7" t="n">
        <v>0.66</v>
      </c>
      <c r="P15" s="2" t="inlineStr">
        <is>
          <t>uphold</t>
        </is>
      </c>
      <c r="Q15"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3" t="n">
        <v>10</v>
      </c>
      <c r="J16" s="4" t="n">
        <v>285.07</v>
      </c>
      <c r="K16" s="4" t="n"/>
      <c r="L16" s="4" t="n">
        <v>298.0599975585938</v>
      </c>
      <c r="M16" s="5">
        <f>IFERROR(IF(E16="Short",-1,1)*(IF(K16&lt;&gt;"",K16,L16)/J16-1),"")</f>
        <v/>
      </c>
      <c r="N16" s="6">
        <f>IFERROR(I16*(IF(K16&lt;&gt;"",K16,L16)-J16),"")</f>
        <v/>
      </c>
      <c r="O16" s="7" t="n">
        <v>0.6</v>
      </c>
      <c r="P16" s="2" t="inlineStr">
        <is>
          <t>uphold</t>
        </is>
      </c>
      <c r="Q16" s="8"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3" t="n">
        <v>9</v>
      </c>
      <c r="J17" s="4" t="n">
        <v>348.411111</v>
      </c>
      <c r="K17" s="4" t="n"/>
      <c r="L17" s="4" t="n">
        <v>351.5899963378906</v>
      </c>
      <c r="M17" s="5">
        <f>IFERROR(IF(E17="Short",-1,1)*(IF(K17&lt;&gt;"",K17,L17)/J17-1),"")</f>
        <v/>
      </c>
      <c r="N17" s="6">
        <f>IFERROR(I17*(IF(K17&lt;&gt;"",K17,L17)-J17),"")</f>
        <v/>
      </c>
      <c r="O17" s="7" t="n">
        <v>0.65</v>
      </c>
      <c r="P17" s="2" t="inlineStr">
        <is>
          <t>uphold</t>
        </is>
      </c>
      <c r="Q17"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3" t="n">
        <v>40</v>
      </c>
      <c r="J18" s="4" t="n">
        <v>70.92</v>
      </c>
      <c r="K18" s="4" t="n"/>
      <c r="L18" s="4" t="n">
        <v>73.43000030517578</v>
      </c>
      <c r="M18" s="5">
        <f>IFERROR(IF(E18="Short",-1,1)*(IF(K18&lt;&gt;"",K18,L18)/J18-1),"")</f>
        <v/>
      </c>
      <c r="N18" s="6">
        <f>IFERROR(I18*(IF(K18&lt;&gt;"",K18,L18)-J18),"")</f>
        <v/>
      </c>
      <c r="O18" s="7" t="n">
        <v>0.6</v>
      </c>
      <c r="P18" s="2" t="inlineStr">
        <is>
          <t>uphold</t>
        </is>
      </c>
      <c r="Q18"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3" t="n">
        <v>3</v>
      </c>
      <c r="J19" s="4" t="n">
        <v>1050.046667</v>
      </c>
      <c r="K19" s="4" t="n"/>
      <c r="L19" s="4" t="n">
        <v>1103.449951171875</v>
      </c>
      <c r="M19" s="5">
        <f>IFERROR(IF(E19="Short",-1,1)*(IF(K19&lt;&gt;"",K19,L19)/J19-1),"")</f>
        <v/>
      </c>
      <c r="N19" s="6">
        <f>IFERROR(I19*(IF(K19&lt;&gt;"",K19,L19)-J19),"")</f>
        <v/>
      </c>
      <c r="O19" s="7" t="n">
        <v>0.6</v>
      </c>
      <c r="P19" s="2" t="inlineStr">
        <is>
          <t>uphold</t>
        </is>
      </c>
      <c r="Q19"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3" t="n">
        <v>2</v>
      </c>
      <c r="J20" s="4" t="n">
        <v>1170.25</v>
      </c>
      <c r="K20" s="4" t="n"/>
      <c r="L20" s="4" t="n">
        <v>1178.699951171875</v>
      </c>
      <c r="M20" s="5">
        <f>IFERROR(IF(E20="Short",-1,1)*(IF(K20&lt;&gt;"",K20,L20)/J20-1),"")</f>
        <v/>
      </c>
      <c r="N20" s="6">
        <f>IFERROR(I20*(IF(K20&lt;&gt;"",K20,L20)-J20),"")</f>
        <v/>
      </c>
      <c r="O20" s="7" t="n">
        <v>0.55</v>
      </c>
      <c r="P20" s="2" t="inlineStr">
        <is>
          <t>uphold</t>
        </is>
      </c>
      <c r="Q20"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3" t="n">
        <v>23</v>
      </c>
      <c r="J21" s="4" t="n">
        <v>274.618695</v>
      </c>
      <c r="K21" s="4" t="n"/>
      <c r="L21" s="4" t="n">
        <v>275.3399963378906</v>
      </c>
      <c r="M21" s="5">
        <f>IFERROR(IF(E21="Short",-1,1)*(IF(K21&lt;&gt;"",K21,L21)/J21-1),"")</f>
        <v/>
      </c>
      <c r="N21" s="6">
        <f>IFERROR(I21*(IF(K21&lt;&gt;"",K21,L21)-J21),"")</f>
        <v/>
      </c>
      <c r="O21" s="7" t="n">
        <v>0.68</v>
      </c>
      <c r="P21" s="2" t="inlineStr">
        <is>
          <t>uphold</t>
        </is>
      </c>
      <c r="Q21"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3" t="n">
        <v>14</v>
      </c>
      <c r="J22" s="4" t="n">
        <v>230.494286</v>
      </c>
      <c r="K22" s="4" t="n"/>
      <c r="L22" s="4" t="n">
        <v>229.3399963378906</v>
      </c>
      <c r="M22" s="5">
        <f>IFERROR(IF(E22="Short",-1,1)*(IF(K22&lt;&gt;"",K22,L22)/J22-1),"")</f>
        <v/>
      </c>
      <c r="N22" s="6">
        <f>IFERROR(I22*(IF(K22&lt;&gt;"",K22,L22)-J22),"")</f>
        <v/>
      </c>
      <c r="O22" s="7" t="n">
        <v>0.66</v>
      </c>
      <c r="P22" s="2" t="inlineStr">
        <is>
          <t>weaken</t>
        </is>
      </c>
      <c r="Q22"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3" t="n">
        <v>-4</v>
      </c>
      <c r="J23" s="4" t="n">
        <v>511.0499877929688</v>
      </c>
      <c r="K23" s="4" t="n"/>
      <c r="L23" s="4" t="n">
        <v>515.5900268554688</v>
      </c>
      <c r="M23" s="5">
        <f>IFERROR(IF(E23="Short",-1,1)*(IF(K23&lt;&gt;"",K23,L23)/J23-1),"")</f>
        <v/>
      </c>
      <c r="N23" s="6">
        <f>IFERROR(I23*(IF(K23&lt;&gt;"",K23,L23)-J23),"")</f>
        <v/>
      </c>
      <c r="O23" s="7" t="n">
        <v>0.4</v>
      </c>
      <c r="P23" s="2" t="inlineStr">
        <is>
          <t>uphold</t>
        </is>
      </c>
      <c r="Q23"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3" t="n">
        <v>-32</v>
      </c>
      <c r="J24" s="4" t="n">
        <v>92.70999999999999</v>
      </c>
      <c r="K24" s="4" t="n"/>
      <c r="L24" s="4" t="n">
        <v>94.51999664306641</v>
      </c>
      <c r="M24" s="5">
        <f>IFERROR(IF(E24="Short",-1,1)*(IF(K24&lt;&gt;"",K24,L24)/J24-1),"")</f>
        <v/>
      </c>
      <c r="N24" s="6">
        <f>IFERROR(I24*(IF(K24&lt;&gt;"",K24,L24)-J24),"")</f>
        <v/>
      </c>
      <c r="O24" s="7" t="n">
        <v>0.6</v>
      </c>
      <c r="P24" s="2" t="inlineStr">
        <is>
          <t>uphold</t>
        </is>
      </c>
      <c r="Q24" s="8"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3" t="n">
        <v>-13</v>
      </c>
      <c r="J25" s="4" t="n">
        <v>236.64</v>
      </c>
      <c r="K25" s="4" t="n"/>
      <c r="L25" s="4" t="n">
        <v>235.3399963378906</v>
      </c>
      <c r="M25" s="5">
        <f>IFERROR(IF(E25="Short",-1,1)*(IF(K25&lt;&gt;"",K25,L25)/J25-1),"")</f>
        <v/>
      </c>
      <c r="N25" s="6">
        <f>IFERROR(I25*(IF(K25&lt;&gt;"",K25,L25)-J25),"")</f>
        <v/>
      </c>
      <c r="O25" s="7" t="n">
        <v>0.6</v>
      </c>
      <c r="P25" s="2" t="inlineStr">
        <is>
          <t>uphold</t>
        </is>
      </c>
      <c r="Q25"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3" t="n">
        <v>-4</v>
      </c>
      <c r="J26" s="4" t="n">
        <v>720.8099999999999</v>
      </c>
      <c r="K26" s="4" t="n"/>
      <c r="L26" s="4" t="n">
        <v>718.4500122070312</v>
      </c>
      <c r="M26" s="5">
        <f>IFERROR(IF(E26="Short",-1,1)*(IF(K26&lt;&gt;"",K26,L26)/J26-1),"")</f>
        <v/>
      </c>
      <c r="N26" s="6">
        <f>IFERROR(I26*(IF(K26&lt;&gt;"",K26,L26)-J26),"")</f>
        <v/>
      </c>
      <c r="O26" s="7" t="n">
        <v>0.55</v>
      </c>
      <c r="P26" s="2" t="inlineStr">
        <is>
          <t>uphold</t>
        </is>
      </c>
      <c r="Q26"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3" t="n">
        <v>-187</v>
      </c>
      <c r="J27" s="4" t="n">
        <v>34.761176</v>
      </c>
      <c r="K27" s="4" t="n"/>
      <c r="L27" s="4" t="n">
        <v>34.74499893188477</v>
      </c>
      <c r="M27" s="5">
        <f>IFERROR(IF(E27="Short",-1,1)*(IF(K27&lt;&gt;"",K27,L27)/J27-1),"")</f>
        <v/>
      </c>
      <c r="N27" s="6">
        <f>IFERROR(I27*(IF(K27&lt;&gt;"",K27,L27)-J27),"")</f>
        <v/>
      </c>
      <c r="O27" s="7" t="n">
        <v>0.65</v>
      </c>
      <c r="P27" s="2" t="inlineStr">
        <is>
          <t>uphold</t>
        </is>
      </c>
      <c r="Q27"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3" t="n">
        <v>-16</v>
      </c>
      <c r="J28" s="4" t="n">
        <v>128.19</v>
      </c>
      <c r="K28" s="4" t="n">
        <v>125.995002746582</v>
      </c>
      <c r="L28" s="4" t="n">
        <v>126.0100021362305</v>
      </c>
      <c r="M28" s="5">
        <f>IFERROR(IF(E28="Short",-1,1)*(IF(K28&lt;&gt;"",K28,L28)/J28-1),"")</f>
        <v/>
      </c>
      <c r="N28" s="6">
        <f>IFERROR(I28*(IF(K28&lt;&gt;"",K28,L28)-J28),"")</f>
        <v/>
      </c>
      <c r="O28" s="7" t="n">
        <v>0.4</v>
      </c>
      <c r="P28" s="2" t="inlineStr">
        <is>
          <t>uphold</t>
        </is>
      </c>
      <c r="Q28"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3" t="n">
        <v>-8</v>
      </c>
      <c r="J29" s="4" t="n">
        <v>125.995002746582</v>
      </c>
      <c r="K29" s="4" t="n"/>
      <c r="L29" s="4" t="n">
        <v>126.0100021362305</v>
      </c>
      <c r="M29" s="5">
        <f>IFERROR(IF(E29="Short",-1,1)*(IF(K29&lt;&gt;"",K29,L29)/J29-1),"")</f>
        <v/>
      </c>
      <c r="N29" s="6">
        <f>IFERROR(I29*(IF(K29&lt;&gt;"",K29,L29)-J29),"")</f>
        <v/>
      </c>
      <c r="O29" s="7" t="n">
        <v>0.4</v>
      </c>
      <c r="P29" s="2" t="inlineStr">
        <is>
          <t>uphold</t>
        </is>
      </c>
      <c r="Q29"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3" t="n">
        <v>-1</v>
      </c>
      <c r="J30" s="4" t="n">
        <v>1609.49</v>
      </c>
      <c r="K30" s="4" t="n">
        <v>1581.724975585938</v>
      </c>
      <c r="L30" s="4" t="n">
        <v>1581.890014648438</v>
      </c>
      <c r="M30" s="5">
        <f>IFERROR(IF(E30="Short",-1,1)*(IF(K30&lt;&gt;"",K30,L30)/J30-1),"")</f>
        <v/>
      </c>
      <c r="N30" s="6">
        <f>IFERROR(I30*(IF(K30&lt;&gt;"",K30,L30)-J30),"")</f>
        <v/>
      </c>
      <c r="O30" s="7" t="n">
        <v>0.4</v>
      </c>
      <c r="P30" s="2" t="inlineStr">
        <is>
          <t>uphold</t>
        </is>
      </c>
      <c r="Q30"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3" t="n">
        <v>-2</v>
      </c>
      <c r="J31" s="4" t="n">
        <v>1581.724975585938</v>
      </c>
      <c r="K31" s="4" t="n"/>
      <c r="L31" s="4" t="n">
        <v>1581.890014648438</v>
      </c>
      <c r="M31" s="5">
        <f>IFERROR(IF(E31="Short",-1,1)*(IF(K31&lt;&gt;"",K31,L31)/J31-1),"")</f>
        <v/>
      </c>
      <c r="N31" s="6">
        <f>IFERROR(I31*(IF(K31&lt;&gt;"",K31,L31)-J31),"")</f>
        <v/>
      </c>
      <c r="O31" s="7" t="n">
        <v>0.4</v>
      </c>
      <c r="P31" s="2" t="inlineStr">
        <is>
          <t>uphold</t>
        </is>
      </c>
      <c r="Q31"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3" t="n">
        <v>-3</v>
      </c>
      <c r="J32" s="4" t="n">
        <v>775.35</v>
      </c>
      <c r="K32" s="4" t="n"/>
      <c r="L32" s="4" t="n">
        <v>782.8900146484375</v>
      </c>
      <c r="M32" s="5">
        <f>IFERROR(IF(E32="Short",-1,1)*(IF(K32&lt;&gt;"",K32,L32)/J32-1),"")</f>
        <v/>
      </c>
      <c r="N32" s="6">
        <f>IFERROR(I32*(IF(K32&lt;&gt;"",K32,L32)-J32),"")</f>
        <v/>
      </c>
      <c r="O32" s="7" t="n">
        <v>0.5</v>
      </c>
      <c r="P32" s="2" t="inlineStr">
        <is>
          <t>uphold</t>
        </is>
      </c>
      <c r="Q32"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3" t="n">
        <v>-8</v>
      </c>
      <c r="J33" s="4" t="n">
        <v>393.05</v>
      </c>
      <c r="K33" s="4" t="n"/>
      <c r="L33" s="4" t="n">
        <v>397.3200073242188</v>
      </c>
      <c r="M33" s="5">
        <f>IFERROR(IF(E33="Short",-1,1)*(IF(K33&lt;&gt;"",K33,L33)/J33-1),"")</f>
        <v/>
      </c>
      <c r="N33" s="6">
        <f>IFERROR(I33*(IF(K33&lt;&gt;"",K33,L33)-J33),"")</f>
        <v/>
      </c>
      <c r="O33" s="7" t="n">
        <v>0.6</v>
      </c>
      <c r="P33" s="2" t="inlineStr">
        <is>
          <t>uphold</t>
        </is>
      </c>
      <c r="Q33"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9" t="n">
        <v>3</v>
      </c>
      <c r="G47" s="9" t="n">
        <v>3</v>
      </c>
      <c r="H47" s="2" t="inlineStr">
        <is>
          <t>market-on-close (daily review)</t>
        </is>
      </c>
      <c r="I47" s="4" t="n">
        <v>361.66</v>
      </c>
      <c r="J47" s="2" t="inlineStr">
        <is>
          <t>filled</t>
        </is>
      </c>
      <c r="K47" s="4" t="n"/>
      <c r="L47" s="4" t="n"/>
      <c r="M47" s="10" t="n"/>
      <c r="N47" s="9">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9" t="n">
        <v>8</v>
      </c>
      <c r="G48" s="9" t="n">
        <v>8</v>
      </c>
      <c r="H48" s="2" t="inlineStr">
        <is>
          <t>market-on-close (daily review)</t>
        </is>
      </c>
      <c r="I48" s="4" t="n">
        <v>125.935</v>
      </c>
      <c r="J48" s="2" t="inlineStr">
        <is>
          <t>filled</t>
        </is>
      </c>
      <c r="K48" s="4" t="n"/>
      <c r="L48" s="4" t="n"/>
      <c r="M48" s="10" t="n"/>
      <c r="N48" s="9">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9" t="n">
        <v>1</v>
      </c>
      <c r="G49" s="9" t="n">
        <v>1</v>
      </c>
      <c r="H49" s="2" t="inlineStr">
        <is>
          <t>market-on-close (daily review)</t>
        </is>
      </c>
      <c r="I49" s="4" t="n">
        <v>1582.225</v>
      </c>
      <c r="J49" s="2" t="inlineStr">
        <is>
          <t>filled</t>
        </is>
      </c>
      <c r="K49" s="4" t="n"/>
      <c r="L49" s="4" t="n"/>
      <c r="M49" s="10" t="n"/>
      <c r="N49" s="9">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9" t="n">
        <v>4</v>
      </c>
      <c r="G50" s="9" t="n">
        <v>4</v>
      </c>
      <c r="H50" s="2" t="inlineStr">
        <is>
          <t>market-on-close (daily review)</t>
        </is>
      </c>
      <c r="I50" s="4" t="n">
        <v>778.47</v>
      </c>
      <c r="J50" s="2" t="inlineStr">
        <is>
          <t>filled</t>
        </is>
      </c>
      <c r="K50" s="4" t="n"/>
      <c r="L50" s="4" t="n"/>
      <c r="M50" s="10" t="n"/>
      <c r="N50" s="9">
        <f>IFERROR(G50*IF(K50&lt;&gt;"",K50,I50),"")</f>
        <v/>
      </c>
      <c r="O50" s="2" t="inlineStr">
        <is>
          <t>fund-2026-10-07-SPY-r20261009</t>
        </is>
      </c>
    </row>
  </sheetData>
  <autoFilter ref="A1:O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12" customWidth="1" min="4" max="4"/>
  </cols>
  <sheetData>
    <row r="1" ht="30" customHeight="1">
      <c r="A1" s="1" t="inlineStr">
        <is>
          <t>Day</t>
        </is>
      </c>
      <c r="B1" s="1" t="inlineStr">
        <is>
          <t>Paper account value ($)</t>
        </is>
      </c>
      <c r="C1" s="1" t="inlineStr">
        <is>
          <t>Daily return (%)</t>
        </is>
      </c>
      <c r="D1" s="1" t="inlineStr">
        <is>
          <t>Since first trade (%)</t>
        </is>
      </c>
    </row>
    <row r="2">
      <c r="A2" s="2" t="inlineStr">
        <is>
          <t>2026-10-01</t>
        </is>
      </c>
      <c r="B2" s="11" t="n">
        <v>100000</v>
      </c>
      <c r="C2" s="5" t="inlineStr"/>
      <c r="D2" s="5">
        <f>B2/$B$2-1</f>
        <v/>
      </c>
    </row>
    <row r="3">
      <c r="A3" s="2" t="inlineStr">
        <is>
          <t>2026-10-02</t>
        </is>
      </c>
      <c r="B3" s="11" t="n">
        <v>99999.89</v>
      </c>
      <c r="C3" s="5">
        <f>B3/B2-1</f>
        <v/>
      </c>
      <c r="D3" s="5">
        <f>B3/$B$2-1</f>
        <v/>
      </c>
    </row>
    <row r="4">
      <c r="A4" s="2" t="inlineStr">
        <is>
          <t>2026-10-03</t>
        </is>
      </c>
      <c r="B4" s="11" t="n">
        <v>99968.23</v>
      </c>
      <c r="C4" s="5">
        <f>B4/B3-1</f>
        <v/>
      </c>
      <c r="D4" s="5">
        <f>B4/$B$2-1</f>
        <v/>
      </c>
    </row>
    <row r="5">
      <c r="A5" s="2" t="inlineStr">
        <is>
          <t>2026-10-06</t>
        </is>
      </c>
      <c r="B5" s="11" t="n">
        <v>99986.53</v>
      </c>
      <c r="C5" s="5">
        <f>B5/B4-1</f>
        <v/>
      </c>
      <c r="D5" s="5">
        <f>B5/$B$2-1</f>
        <v/>
      </c>
    </row>
    <row r="6">
      <c r="A6" s="2" t="inlineStr">
        <is>
          <t>2026-10-07</t>
        </is>
      </c>
      <c r="B6" s="11" t="n">
        <v>100026.93</v>
      </c>
      <c r="C6" s="5">
        <f>B6/B5-1</f>
        <v/>
      </c>
      <c r="D6" s="5">
        <f>B6/$B$2-1</f>
        <v/>
      </c>
    </row>
    <row r="7">
      <c r="A7" s="2" t="inlineStr">
        <is>
          <t>2026-10-08</t>
        </is>
      </c>
      <c r="B7" s="11" t="n">
        <v>100100.07</v>
      </c>
      <c r="C7" s="5">
        <f>B7/B6-1</f>
        <v/>
      </c>
      <c r="D7" s="5">
        <f>B7/$B$2-1</f>
        <v/>
      </c>
    </row>
  </sheetData>
  <autoFilter ref="A1:D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2" t="n"/>
      <c r="F2" s="13" t="n">
        <v>-0.11</v>
      </c>
    </row>
    <row r="3">
      <c r="A3" s="2" t="inlineStr">
        <is>
          <t>2026-10-01</t>
        </is>
      </c>
      <c r="B3" s="2" t="inlineStr">
        <is>
          <t>FEE</t>
        </is>
      </c>
      <c r="C3" s="2" t="n"/>
      <c r="D3" s="9" t="n"/>
      <c r="E3" s="12" t="n"/>
      <c r="F3" s="13" t="n">
        <v>-0.01</v>
      </c>
    </row>
    <row r="4">
      <c r="A4" s="2" t="inlineStr">
        <is>
          <t>2026-10-06</t>
        </is>
      </c>
      <c r="B4" s="2" t="inlineStr">
        <is>
          <t>FEE</t>
        </is>
      </c>
      <c r="C4" s="2" t="n"/>
      <c r="D4" s="9" t="n"/>
      <c r="E4" s="12" t="n"/>
      <c r="F4" s="13" t="n">
        <v>-0.01</v>
      </c>
    </row>
    <row r="5">
      <c r="A5" s="2" t="inlineStr">
        <is>
          <t>2026-10-07</t>
        </is>
      </c>
      <c r="B5" s="2" t="inlineStr">
        <is>
          <t>FEE</t>
        </is>
      </c>
      <c r="C5" s="2" t="n"/>
      <c r="D5" s="9" t="n"/>
      <c r="E5" s="12" t="n"/>
      <c r="F5" s="13" t="n">
        <v>-0.01</v>
      </c>
    </row>
    <row r="6">
      <c r="A6" s="2" t="inlineStr">
        <is>
          <t>2026-10-07</t>
        </is>
      </c>
      <c r="B6" s="2" t="inlineStr">
        <is>
          <t>FEE</t>
        </is>
      </c>
      <c r="C6" s="2" t="n"/>
      <c r="D6" s="9" t="n"/>
      <c r="E6" s="12" t="n"/>
      <c r="F6" s="13" t="n">
        <v>-0.06</v>
      </c>
    </row>
  </sheetData>
  <autoFilter ref="A1:F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2026-10-09T20:00:17Z</dcterms:created>
  <dcterms:modified xmlns:dcterms="http://purl.org/dc/terms/" xmlns:xsi="http://www.w3.org/2001/XMLSchema-instance" xsi:type="dcterms:W3CDTF">2026-10-09T20:00:17Z</dcterms:modified>
</cp:coreProperties>
</file>