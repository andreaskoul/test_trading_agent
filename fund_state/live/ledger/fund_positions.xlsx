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positions'!$A$1:$J$17</definedName>
    <definedName name="_xlnm._FilterDatabase" localSheetId="2" hidden="1">'Realized trades'!$A$1:$H$37</definedName>
    <definedName name="_xlnm._FilterDatabase" localSheetId="3" hidden="1">'Positions'!$A$1:$Q$71</definedName>
    <definedName name="_xlnm._FilterDatabase" localSheetId="4" hidden="1">'Orders'!$A$1:$O$95</definedName>
    <definedName name="_xlnm._FilterDatabase" localSheetId="5" hidden="1">'Account'!$A$1:$F$15</definedName>
    <definedName name="_xlnm._FilterDatabase" localSheetId="6" hidden="1">'Cash activity'!$A$1:$F$19</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2026-10-21 14:16 ET)</t>
        </is>
      </c>
      <c r="B2" s="3" t="n">
        <v>98430.2012</v>
      </c>
    </row>
    <row r="3">
      <c r="A3" s="2" t="inlineStr">
        <is>
          <t>Net deposits</t>
        </is>
      </c>
      <c r="B3" s="3" t="n">
        <v>100000</v>
      </c>
    </row>
    <row r="4">
      <c r="A4" s="2" t="inlineStr">
        <is>
          <t>Account P&amp;L</t>
        </is>
      </c>
      <c r="B4" s="3">
        <f>B2-B3</f>
        <v/>
      </c>
    </row>
    <row r="5">
      <c r="A5" s="2" t="inlineStr">
        <is>
          <t>Realized P&amp;L (closed shares, FIFO)</t>
        </is>
      </c>
      <c r="B5" s="3" t="n">
        <v>255.3800000000026</v>
      </c>
    </row>
    <row r="6">
      <c r="A6" s="2" t="inlineStr">
        <is>
          <t>Unrealized P&amp;L (open shares at Alpaca marks)</t>
        </is>
      </c>
      <c r="B6" s="3" t="n">
        <v>-1822.738800000001</v>
      </c>
    </row>
    <row r="7">
      <c r="A7" s="2" t="inlineStr">
        <is>
          <t>Dividends, fees &amp; interest</t>
        </is>
      </c>
      <c r="B7" s="3" t="n">
        <v>-2.44</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554.79</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242.015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79.05</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58.57</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334.62</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23.485</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245.46</v>
      </c>
      <c r="H9" s="6">
        <f>D9*G9</f>
        <v/>
      </c>
      <c r="I9" s="3">
        <f>D9*(G9-F9)</f>
        <v/>
      </c>
      <c r="J9" s="7">
        <f>IF(D9&gt;0,1,-1)*(G9/F9-1)</f>
        <v/>
      </c>
    </row>
    <row r="10">
      <c r="A10" s="2" t="inlineStr">
        <is>
          <t>MSFT</t>
        </is>
      </c>
      <c r="B10" s="2" t="inlineStr">
        <is>
          <t>MSFT</t>
        </is>
      </c>
      <c r="C10" s="2" t="inlineStr">
        <is>
          <t>Long</t>
        </is>
      </c>
      <c r="D10" s="4" t="n">
        <v>7</v>
      </c>
      <c r="E10" s="2" t="inlineStr">
        <is>
          <t>2026-10-15</t>
        </is>
      </c>
      <c r="F10" s="5" t="n">
        <v>536.6514285714285</v>
      </c>
      <c r="G10" s="5" t="n">
        <v>532.825</v>
      </c>
      <c r="H10" s="6">
        <f>D10*G10</f>
        <v/>
      </c>
      <c r="I10" s="3">
        <f>D10*(G10-F10)</f>
        <v/>
      </c>
      <c r="J10" s="7">
        <f>IF(D10&gt;0,1,-1)*(G10/F10-1)</f>
        <v/>
      </c>
    </row>
    <row r="11">
      <c r="A11" s="2" t="inlineStr">
        <is>
          <t>NFLX</t>
        </is>
      </c>
      <c r="B11" s="2" t="inlineStr">
        <is>
          <t>NFLX</t>
        </is>
      </c>
      <c r="C11" s="2" t="inlineStr">
        <is>
          <t>Short</t>
        </is>
      </c>
      <c r="D11" s="4" t="n">
        <v>-15</v>
      </c>
      <c r="E11" s="2" t="inlineStr">
        <is>
          <t>2026-10-15</t>
        </is>
      </c>
      <c r="F11" s="5" t="n">
        <v>72.61</v>
      </c>
      <c r="G11" s="5" t="n">
        <v>65.80500000000001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37.785</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221.64</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77.56999999999999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130.08</v>
      </c>
      <c r="H15" s="6">
        <f>D15*G15</f>
        <v/>
      </c>
      <c r="I15" s="3">
        <f>D15*(G15-F15)</f>
        <v/>
      </c>
      <c r="J15" s="7">
        <f>IF(D15&gt;0,1,-1)*(G15/F15-1)</f>
        <v/>
      </c>
    </row>
    <row r="16">
      <c r="A16" s="2" t="inlineStr">
        <is>
          <t>STT</t>
        </is>
      </c>
      <c r="B16" s="2" t="inlineStr">
        <is>
          <t>STT</t>
        </is>
      </c>
      <c r="C16" s="2" t="inlineStr">
        <is>
          <t>Short</t>
        </is>
      </c>
      <c r="D16" s="4" t="n">
        <v>-14</v>
      </c>
      <c r="E16" s="2" t="inlineStr">
        <is>
          <t>2026-10-15</t>
        </is>
      </c>
      <c r="F16" s="5" t="n">
        <v>167.6371428571429</v>
      </c>
      <c r="G16" s="5" t="n">
        <v>168.77</v>
      </c>
      <c r="H16" s="6">
        <f>D16*G16</f>
        <v/>
      </c>
      <c r="I16" s="3">
        <f>D16*(G16-F16)</f>
        <v/>
      </c>
      <c r="J16" s="7">
        <f>IF(D16&gt;0,1,-1)*(G16/F16-1)</f>
        <v/>
      </c>
    </row>
    <row r="17">
      <c r="A17" s="2" t="inlineStr">
        <is>
          <t>TSLA</t>
        </is>
      </c>
      <c r="B17" s="2" t="inlineStr">
        <is>
          <t>TSLA</t>
        </is>
      </c>
      <c r="C17" s="2" t="inlineStr">
        <is>
          <t>Short</t>
        </is>
      </c>
      <c r="D17" s="4" t="n">
        <v>-4</v>
      </c>
      <c r="E17" s="2" t="inlineStr">
        <is>
          <t>2026-10-15</t>
        </is>
      </c>
      <c r="F17" s="5" t="n">
        <v>362.625</v>
      </c>
      <c r="G17" s="5" t="n">
        <v>386.5997</v>
      </c>
      <c r="H17" s="6">
        <f>D17*G17</f>
        <v/>
      </c>
      <c r="I17" s="3">
        <f>D17*(G17-F17)</f>
        <v/>
      </c>
      <c r="J17" s="7">
        <f>IF(D17&gt;0,1,-1)*(G17/F17-1)</f>
        <v/>
      </c>
    </row>
  </sheetData>
  <autoFilter ref="A1:J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sheetData>
  <autoFilter ref="A1:H3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774.37</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929.59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919.1900000000001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919.1900000000001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65.79000000000001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542.15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97.33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131.52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774.37</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774.37</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774.37</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774.37</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554.63</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554.63</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338.77</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338.77</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338.77</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192.53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272.68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334.84</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58.61</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851.86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1270.5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245.31</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221.68</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221.68</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542.15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97.33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245.975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707.79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37.785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134.63</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134.63</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1389.47</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1389.47</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700.39</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379.57</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338.77</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192.56</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542.15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272.68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334.84</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851.86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1270.5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97.33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245.975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707.9</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134.63</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1389.47</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774.37</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700.39</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379.57</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35.515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318.96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2026-10-07</t>
        </is>
      </c>
      <c r="B56" s="2" t="inlineStr">
        <is>
          <t>AMD</t>
        </is>
      </c>
      <c r="C56" s="2" t="inlineStr">
        <is>
          <t>AMD</t>
        </is>
      </c>
      <c r="D56" s="2" t="inlineStr">
        <is>
          <t>position (lifecycle)</t>
        </is>
      </c>
      <c r="E56" s="2" t="inlineStr">
        <is>
          <t>Long</t>
        </is>
      </c>
      <c r="F56" s="2" t="inlineStr">
        <is>
          <t>Open</t>
        </is>
      </c>
      <c r="G56" s="2" t="inlineStr">
        <is>
          <t>2026-10-15</t>
        </is>
      </c>
      <c r="H56" s="2" t="inlineStr"/>
      <c r="I56" s="4" t="n">
        <v>6</v>
      </c>
      <c r="J56" s="5" t="n">
        <v>562.43666015625</v>
      </c>
      <c r="K56" s="5" t="n"/>
      <c r="L56" s="5" t="n">
        <v>554.63</v>
      </c>
      <c r="M56" s="7">
        <f>IFERROR(IF(E56="Short",-1,1)*(IF(K56&lt;&gt;"",K56,L56)/J56-1),"")</f>
        <v/>
      </c>
      <c r="N56" s="6">
        <f>IFERROR(I56*(IF(K56&lt;&gt;"",K56,L56)-J56),"")</f>
        <v/>
      </c>
      <c r="O56" s="8" t="n">
        <v>0.55</v>
      </c>
      <c r="P56" s="2" t="n"/>
      <c r="Q56"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7">
      <c r="A57" s="2" t="inlineStr">
        <is>
          <t>2026-10-07</t>
        </is>
      </c>
      <c r="B57" s="2" t="inlineStr">
        <is>
          <t>HPE</t>
        </is>
      </c>
      <c r="C57" s="2" t="inlineStr">
        <is>
          <t>HPE</t>
        </is>
      </c>
      <c r="D57" s="2" t="inlineStr">
        <is>
          <t>position (lifecycle)</t>
        </is>
      </c>
      <c r="E57" s="2" t="inlineStr">
        <is>
          <t>Long</t>
        </is>
      </c>
      <c r="F57" s="2" t="inlineStr">
        <is>
          <t>Open</t>
        </is>
      </c>
      <c r="G57" s="2" t="inlineStr">
        <is>
          <t>2026-10-15</t>
        </is>
      </c>
      <c r="H57" s="2" t="inlineStr"/>
      <c r="I57" s="4" t="n">
        <v>36</v>
      </c>
      <c r="J57" s="5" t="n">
        <v>58.63000106811523</v>
      </c>
      <c r="K57" s="5" t="n"/>
      <c r="L57" s="5" t="n">
        <v>58.61</v>
      </c>
      <c r="M57" s="7">
        <f>IFERROR(IF(E57="Short",-1,1)*(IF(K57&lt;&gt;"",K57,L57)/J57-1),"")</f>
        <v/>
      </c>
      <c r="N57" s="6">
        <f>IFERROR(I57*(IF(K57&lt;&gt;"",K57,L57)-J57),"")</f>
        <v/>
      </c>
      <c r="O57" s="8" t="n">
        <v>0.6</v>
      </c>
      <c r="P57" s="2" t="n"/>
      <c r="Q57"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8">
      <c r="A58" s="2" t="inlineStr">
        <is>
          <t>2026-10-07</t>
        </is>
      </c>
      <c r="B58" s="2" t="inlineStr">
        <is>
          <t>MRVL</t>
        </is>
      </c>
      <c r="C58" s="2" t="inlineStr">
        <is>
          <t>MRVL</t>
        </is>
      </c>
      <c r="D58" s="2" t="inlineStr">
        <is>
          <t>position (lifecycle)</t>
        </is>
      </c>
      <c r="E58" s="2" t="inlineStr">
        <is>
          <t>Long</t>
        </is>
      </c>
      <c r="F58" s="2" t="inlineStr">
        <is>
          <t>Open</t>
        </is>
      </c>
      <c r="G58" s="2" t="inlineStr">
        <is>
          <t>2026-10-15</t>
        </is>
      </c>
      <c r="H58" s="2" t="inlineStr"/>
      <c r="I58" s="4" t="n">
        <v>21</v>
      </c>
      <c r="J58" s="5" t="n">
        <v>241.2400054931641</v>
      </c>
      <c r="K58" s="5" t="n"/>
      <c r="L58" s="5" t="n">
        <v>245.31</v>
      </c>
      <c r="M58" s="7">
        <f>IFERROR(IF(E58="Short",-1,1)*(IF(K58&lt;&gt;"",K58,L58)/J58-1),"")</f>
        <v/>
      </c>
      <c r="N58" s="6">
        <f>IFERROR(I58*(IF(K58&lt;&gt;"",K58,L58)-J58),"")</f>
        <v/>
      </c>
      <c r="O58" s="8" t="n">
        <v>0.68</v>
      </c>
      <c r="P58" s="2" t="n"/>
      <c r="Q58"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9">
      <c r="A59" s="2" t="inlineStr">
        <is>
          <t>2026-10-07</t>
        </is>
      </c>
      <c r="B59" s="2" t="inlineStr">
        <is>
          <t>NKE</t>
        </is>
      </c>
      <c r="C59" s="2" t="inlineStr">
        <is>
          <t>NKE</t>
        </is>
      </c>
      <c r="D59" s="2" t="inlineStr">
        <is>
          <t>position (lifecycle)</t>
        </is>
      </c>
      <c r="E59" s="2" t="inlineStr">
        <is>
          <t>Short</t>
        </is>
      </c>
      <c r="F59" s="2" t="inlineStr">
        <is>
          <t>Open</t>
        </is>
      </c>
      <c r="G59" s="2" t="inlineStr">
        <is>
          <t>2026-10-15</t>
        </is>
      </c>
      <c r="H59" s="2" t="inlineStr"/>
      <c r="I59" s="4" t="n">
        <v>-187</v>
      </c>
      <c r="J59" s="5" t="n">
        <v>37.13999938964844</v>
      </c>
      <c r="K59" s="5" t="n"/>
      <c r="L59" s="5" t="n">
        <v>37.785</v>
      </c>
      <c r="M59" s="7">
        <f>IFERROR(IF(E59="Short",-1,1)*(IF(K59&lt;&gt;"",K59,L59)/J59-1),"")</f>
        <v/>
      </c>
      <c r="N59" s="6">
        <f>IFERROR(I59*(IF(K59&lt;&gt;"",K59,L59)-J59),"")</f>
        <v/>
      </c>
      <c r="O59" s="8" t="n">
        <v>0.65</v>
      </c>
      <c r="P59" s="2" t="n"/>
      <c r="Q59"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0">
      <c r="A60" s="2" t="inlineStr">
        <is>
          <t>2026-10-14</t>
        </is>
      </c>
      <c r="B60" s="2" t="inlineStr">
        <is>
          <t>NVDA</t>
        </is>
      </c>
      <c r="C60" s="2" t="inlineStr">
        <is>
          <t>NVDA</t>
        </is>
      </c>
      <c r="D60" s="2" t="inlineStr">
        <is>
          <t>position (lifecycle)</t>
        </is>
      </c>
      <c r="E60" s="2" t="inlineStr">
        <is>
          <t>Long</t>
        </is>
      </c>
      <c r="F60" s="2" t="inlineStr">
        <is>
          <t>Open</t>
        </is>
      </c>
      <c r="G60" s="2" t="inlineStr">
        <is>
          <t>2026-10-15</t>
        </is>
      </c>
      <c r="H60" s="2" t="inlineStr"/>
      <c r="I60" s="4" t="n">
        <v>11</v>
      </c>
      <c r="J60" s="5" t="n">
        <v>217.2663609175249</v>
      </c>
      <c r="K60" s="5" t="n"/>
      <c r="L60" s="5" t="n">
        <v>221.68</v>
      </c>
      <c r="M60" s="7">
        <f>IFERROR(IF(E60="Short",-1,1)*(IF(K60&lt;&gt;"",K60,L60)/J60-1),"")</f>
        <v/>
      </c>
      <c r="N60" s="6">
        <f>IFERROR(I60*(IF(K60&lt;&gt;"",K60,L60)-J60),"")</f>
        <v/>
      </c>
      <c r="O60" s="8" t="n">
        <v>0.5</v>
      </c>
      <c r="P60" s="2" t="n"/>
      <c r="Q60"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61">
      <c r="A61" s="2" t="inlineStr">
        <is>
          <t>2026-10-14</t>
        </is>
      </c>
      <c r="B61" s="2" t="inlineStr">
        <is>
          <t>BAC</t>
        </is>
      </c>
      <c r="C61" s="2" t="inlineStr">
        <is>
          <t>BAC</t>
        </is>
      </c>
      <c r="D61" s="2" t="inlineStr">
        <is>
          <t>position (lifecycle)</t>
        </is>
      </c>
      <c r="E61" s="2" t="inlineStr">
        <is>
          <t>Short</t>
        </is>
      </c>
      <c r="F61" s="2" t="inlineStr">
        <is>
          <t>Open</t>
        </is>
      </c>
      <c r="G61" s="2" t="inlineStr">
        <is>
          <t>2026-10-15</t>
        </is>
      </c>
      <c r="H61" s="2" t="inlineStr"/>
      <c r="I61" s="4" t="n">
        <v>-68</v>
      </c>
      <c r="J61" s="5" t="n">
        <v>51.19367658823529</v>
      </c>
      <c r="K61" s="5" t="n"/>
      <c r="L61" s="5" t="n">
        <v>50.945</v>
      </c>
      <c r="M61" s="7">
        <f>IFERROR(IF(E61="Short",-1,1)*(IF(K61&lt;&gt;"",K61,L61)/J61-1),"")</f>
        <v/>
      </c>
      <c r="N61" s="6">
        <f>IFERROR(I61*(IF(K61&lt;&gt;"",K61,L61)-J61),"")</f>
        <v/>
      </c>
      <c r="O61" s="8" t="n">
        <v>0.58</v>
      </c>
      <c r="P61" s="2" t="n"/>
      <c r="Q61"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2">
      <c r="A62" s="2" t="inlineStr">
        <is>
          <t>2026-10-14</t>
        </is>
      </c>
      <c r="B62" s="2" t="inlineStr">
        <is>
          <t>CRM</t>
        </is>
      </c>
      <c r="C62" s="2" t="inlineStr">
        <is>
          <t>CRM</t>
        </is>
      </c>
      <c r="D62" s="2" t="inlineStr">
        <is>
          <t>position (lifecycle)</t>
        </is>
      </c>
      <c r="E62" s="2" t="inlineStr">
        <is>
          <t>Long</t>
        </is>
      </c>
      <c r="F62" s="2" t="inlineStr">
        <is>
          <t>Open</t>
        </is>
      </c>
      <c r="G62" s="2" t="inlineStr">
        <is>
          <t>2026-10-15</t>
        </is>
      </c>
      <c r="H62" s="2" t="inlineStr"/>
      <c r="I62" s="4" t="n">
        <v>12</v>
      </c>
      <c r="J62" s="5" t="n">
        <v>246.679167</v>
      </c>
      <c r="K62" s="5" t="n"/>
      <c r="L62" s="5" t="n">
        <v>241.97</v>
      </c>
      <c r="M62" s="7">
        <f>IFERROR(IF(E62="Short",-1,1)*(IF(K62&lt;&gt;"",K62,L62)/J62-1),"")</f>
        <v/>
      </c>
      <c r="N62" s="6">
        <f>IFERROR(I62*(IF(K62&lt;&gt;"",K62,L62)-J62),"")</f>
        <v/>
      </c>
      <c r="O62" s="8" t="n">
        <v>0.6</v>
      </c>
      <c r="P62" s="2" t="n"/>
      <c r="Q62"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3">
      <c r="A63" s="2" t="inlineStr">
        <is>
          <t>2026-10-14</t>
        </is>
      </c>
      <c r="B63" s="2" t="inlineStr">
        <is>
          <t>DAL</t>
        </is>
      </c>
      <c r="C63" s="2" t="inlineStr">
        <is>
          <t>DAL</t>
        </is>
      </c>
      <c r="D63" s="2" t="inlineStr">
        <is>
          <t>position (lifecycle)</t>
        </is>
      </c>
      <c r="E63" s="2" t="inlineStr">
        <is>
          <t>Short</t>
        </is>
      </c>
      <c r="F63" s="2" t="inlineStr">
        <is>
          <t>Open</t>
        </is>
      </c>
      <c r="G63" s="2" t="inlineStr">
        <is>
          <t>2026-10-15</t>
        </is>
      </c>
      <c r="H63" s="2" t="inlineStr"/>
      <c r="I63" s="4" t="n">
        <v>-47</v>
      </c>
      <c r="J63" s="5" t="n">
        <v>76.79842105263158</v>
      </c>
      <c r="K63" s="5" t="n"/>
      <c r="L63" s="5" t="n">
        <v>79.075</v>
      </c>
      <c r="M63" s="7">
        <f>IFERROR(IF(E63="Short",-1,1)*(IF(K63&lt;&gt;"",K63,L63)/J63-1),"")</f>
        <v/>
      </c>
      <c r="N63" s="6">
        <f>IFERROR(I63*(IF(K63&lt;&gt;"",K63,L63)-J63),"")</f>
        <v/>
      </c>
      <c r="O63" s="8" t="n">
        <v>0.6</v>
      </c>
      <c r="P63" s="2" t="n"/>
      <c r="Q63"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4">
      <c r="A64" s="2" t="inlineStr">
        <is>
          <t>2026-10-14</t>
        </is>
      </c>
      <c r="B64" s="2" t="inlineStr">
        <is>
          <t>JPM</t>
        </is>
      </c>
      <c r="C64" s="2" t="inlineStr">
        <is>
          <t>JPM</t>
        </is>
      </c>
      <c r="D64" s="2" t="inlineStr">
        <is>
          <t>position (lifecycle)</t>
        </is>
      </c>
      <c r="E64" s="2" t="inlineStr">
        <is>
          <t>Short</t>
        </is>
      </c>
      <c r="F64" s="2" t="inlineStr">
        <is>
          <t>Open</t>
        </is>
      </c>
      <c r="G64" s="2" t="inlineStr">
        <is>
          <t>2026-10-15</t>
        </is>
      </c>
      <c r="H64" s="2" t="inlineStr"/>
      <c r="I64" s="4" t="n">
        <v>-7</v>
      </c>
      <c r="J64" s="5" t="n">
        <v>335.42</v>
      </c>
      <c r="K64" s="5" t="n"/>
      <c r="L64" s="5" t="n">
        <v>334.59</v>
      </c>
      <c r="M64" s="7">
        <f>IFERROR(IF(E64="Short",-1,1)*(IF(K64&lt;&gt;"",K64,L64)/J64-1),"")</f>
        <v/>
      </c>
      <c r="N64" s="6">
        <f>IFERROR(I64*(IF(K64&lt;&gt;"",K64,L64)-J64),"")</f>
        <v/>
      </c>
      <c r="O64" s="8" t="n">
        <v>0.6</v>
      </c>
      <c r="P64" s="2" t="n"/>
      <c r="Q64"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5">
      <c r="A65" s="2" t="inlineStr">
        <is>
          <t>2026-10-14</t>
        </is>
      </c>
      <c r="B65" s="2" t="inlineStr">
        <is>
          <t>KHC</t>
        </is>
      </c>
      <c r="C65" s="2" t="inlineStr">
        <is>
          <t>KHC</t>
        </is>
      </c>
      <c r="D65" s="2" t="inlineStr">
        <is>
          <t>position (lifecycle)</t>
        </is>
      </c>
      <c r="E65" s="2" t="inlineStr">
        <is>
          <t>Short</t>
        </is>
      </c>
      <c r="F65" s="2" t="inlineStr">
        <is>
          <t>Open</t>
        </is>
      </c>
      <c r="G65" s="2" t="inlineStr">
        <is>
          <t>2026-10-15</t>
        </is>
      </c>
      <c r="H65" s="2" t="inlineStr"/>
      <c r="I65" s="4" t="n">
        <v>-101</v>
      </c>
      <c r="J65" s="5" t="n">
        <v>23.24</v>
      </c>
      <c r="K65" s="5" t="n"/>
      <c r="L65" s="5" t="n">
        <v>23.49</v>
      </c>
      <c r="M65" s="7">
        <f>IFERROR(IF(E65="Short",-1,1)*(IF(K65&lt;&gt;"",K65,L65)/J65-1),"")</f>
        <v/>
      </c>
      <c r="N65" s="6">
        <f>IFERROR(I65*(IF(K65&lt;&gt;"",K65,L65)-J65),"")</f>
        <v/>
      </c>
      <c r="O65" s="8" t="n">
        <v>0.6</v>
      </c>
      <c r="P65" s="2" t="n"/>
      <c r="Q65"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6">
      <c r="A66" s="2" t="inlineStr">
        <is>
          <t>2026-10-14</t>
        </is>
      </c>
      <c r="B66" s="2" t="inlineStr">
        <is>
          <t>MSFT</t>
        </is>
      </c>
      <c r="C66" s="2" t="inlineStr">
        <is>
          <t>MSFT</t>
        </is>
      </c>
      <c r="D66" s="2" t="inlineStr">
        <is>
          <t>position (lifecycle)</t>
        </is>
      </c>
      <c r="E66" s="2" t="inlineStr">
        <is>
          <t>Long</t>
        </is>
      </c>
      <c r="F66" s="2" t="inlineStr">
        <is>
          <t>Open</t>
        </is>
      </c>
      <c r="G66" s="2" t="inlineStr">
        <is>
          <t>2026-10-15</t>
        </is>
      </c>
      <c r="H66" s="2" t="inlineStr"/>
      <c r="I66" s="4" t="n">
        <v>7</v>
      </c>
      <c r="J66" s="5" t="n">
        <v>536.6514285714286</v>
      </c>
      <c r="K66" s="5" t="n"/>
      <c r="L66" s="5" t="n">
        <v>532.8049999999999</v>
      </c>
      <c r="M66" s="7">
        <f>IFERROR(IF(E66="Short",-1,1)*(IF(K66&lt;&gt;"",K66,L66)/J66-1),"")</f>
        <v/>
      </c>
      <c r="N66" s="6">
        <f>IFERROR(I66*(IF(K66&lt;&gt;"",K66,L66)-J66),"")</f>
        <v/>
      </c>
      <c r="O66" s="8" t="n">
        <v>0.5</v>
      </c>
      <c r="P66" s="2" t="n"/>
      <c r="Q6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7">
      <c r="A67" s="2" t="inlineStr">
        <is>
          <t>2026-10-14</t>
        </is>
      </c>
      <c r="B67" s="2" t="inlineStr">
        <is>
          <t>NFLX</t>
        </is>
      </c>
      <c r="C67" s="2" t="inlineStr">
        <is>
          <t>NFLX</t>
        </is>
      </c>
      <c r="D67" s="2" t="inlineStr">
        <is>
          <t>position (lifecycle)</t>
        </is>
      </c>
      <c r="E67" s="2" t="inlineStr">
        <is>
          <t>Short</t>
        </is>
      </c>
      <c r="F67" s="2" t="inlineStr">
        <is>
          <t>Open</t>
        </is>
      </c>
      <c r="G67" s="2" t="inlineStr">
        <is>
          <t>2026-10-15</t>
        </is>
      </c>
      <c r="H67" s="2" t="inlineStr"/>
      <c r="I67" s="4" t="n">
        <v>-15</v>
      </c>
      <c r="J67" s="5" t="n">
        <v>72.61</v>
      </c>
      <c r="K67" s="5" t="n"/>
      <c r="L67" s="5" t="n">
        <v>65.79000000000001</v>
      </c>
      <c r="M67" s="7">
        <f>IFERROR(IF(E67="Short",-1,1)*(IF(K67&lt;&gt;"",K67,L67)/J67-1),"")</f>
        <v/>
      </c>
      <c r="N67" s="6">
        <f>IFERROR(I67*(IF(K67&lt;&gt;"",K67,L67)-J67),"")</f>
        <v/>
      </c>
      <c r="O67" s="8" t="n">
        <v>0.55</v>
      </c>
      <c r="P67" s="2" t="n"/>
      <c r="Q6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8">
      <c r="A68" s="2" t="inlineStr">
        <is>
          <t>2026-10-14</t>
        </is>
      </c>
      <c r="B68" s="2" t="inlineStr">
        <is>
          <t>ON</t>
        </is>
      </c>
      <c r="C68" s="2" t="inlineStr">
        <is>
          <t>ON</t>
        </is>
      </c>
      <c r="D68" s="2" t="inlineStr">
        <is>
          <t>position (lifecycle)</t>
        </is>
      </c>
      <c r="E68" s="2" t="inlineStr">
        <is>
          <t>Long</t>
        </is>
      </c>
      <c r="F68" s="2" t="inlineStr">
        <is>
          <t>Open</t>
        </is>
      </c>
      <c r="G68" s="2" t="inlineStr">
        <is>
          <t>2026-10-15</t>
        </is>
      </c>
      <c r="H68" s="2" t="inlineStr"/>
      <c r="I68" s="4" t="n">
        <v>37</v>
      </c>
      <c r="J68" s="5" t="n">
        <v>73.81</v>
      </c>
      <c r="K68" s="5" t="n"/>
      <c r="L68" s="5" t="n">
        <v>77.48999999999999</v>
      </c>
      <c r="M68" s="7">
        <f>IFERROR(IF(E68="Short",-1,1)*(IF(K68&lt;&gt;"",K68,L68)/J68-1),"")</f>
        <v/>
      </c>
      <c r="N68" s="6">
        <f>IFERROR(I68*(IF(K68&lt;&gt;"",K68,L68)-J68),"")</f>
        <v/>
      </c>
      <c r="O68" s="8" t="n">
        <v>0.55</v>
      </c>
      <c r="P68" s="2" t="n"/>
      <c r="Q68"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9">
      <c r="A69" s="2" t="inlineStr">
        <is>
          <t>2026-10-14</t>
        </is>
      </c>
      <c r="B69" s="2" t="inlineStr">
        <is>
          <t>ORCL</t>
        </is>
      </c>
      <c r="C69" s="2" t="inlineStr">
        <is>
          <t>ORCL</t>
        </is>
      </c>
      <c r="D69" s="2" t="inlineStr">
        <is>
          <t>position (lifecycle)</t>
        </is>
      </c>
      <c r="E69" s="2" t="inlineStr">
        <is>
          <t>Short</t>
        </is>
      </c>
      <c r="F69" s="2" t="inlineStr">
        <is>
          <t>Open</t>
        </is>
      </c>
      <c r="G69" s="2" t="inlineStr">
        <is>
          <t>2026-10-15</t>
        </is>
      </c>
      <c r="H69" s="2" t="inlineStr"/>
      <c r="I69" s="4" t="n">
        <v>-29</v>
      </c>
      <c r="J69" s="5" t="n">
        <v>134.657586</v>
      </c>
      <c r="K69" s="5" t="n"/>
      <c r="L69" s="5" t="n">
        <v>130.09</v>
      </c>
      <c r="M69" s="7">
        <f>IFERROR(IF(E69="Short",-1,1)*(IF(K69&lt;&gt;"",K69,L69)/J69-1),"")</f>
        <v/>
      </c>
      <c r="N69" s="6">
        <f>IFERROR(I69*(IF(K69&lt;&gt;"",K69,L69)-J69),"")</f>
        <v/>
      </c>
      <c r="O69" s="8" t="n">
        <v>0.5</v>
      </c>
      <c r="P69" s="2" t="n"/>
      <c r="Q69"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70">
      <c r="A70" s="2" t="inlineStr">
        <is>
          <t>2026-10-14</t>
        </is>
      </c>
      <c r="B70" s="2" t="inlineStr">
        <is>
          <t>STT</t>
        </is>
      </c>
      <c r="C70" s="2" t="inlineStr">
        <is>
          <t>STT</t>
        </is>
      </c>
      <c r="D70" s="2" t="inlineStr">
        <is>
          <t>position (lifecycle)</t>
        </is>
      </c>
      <c r="E70" s="2" t="inlineStr">
        <is>
          <t>Short</t>
        </is>
      </c>
      <c r="F70" s="2" t="inlineStr">
        <is>
          <t>Open</t>
        </is>
      </c>
      <c r="G70" s="2" t="inlineStr">
        <is>
          <t>2026-10-15</t>
        </is>
      </c>
      <c r="H70" s="2" t="inlineStr"/>
      <c r="I70" s="4" t="n">
        <v>-14</v>
      </c>
      <c r="J70" s="5" t="n">
        <v>167.637143</v>
      </c>
      <c r="K70" s="5" t="n"/>
      <c r="L70" s="5" t="n">
        <v>168.77</v>
      </c>
      <c r="M70" s="7">
        <f>IFERROR(IF(E70="Short",-1,1)*(IF(K70&lt;&gt;"",K70,L70)/J70-1),"")</f>
        <v/>
      </c>
      <c r="N70" s="6">
        <f>IFERROR(I70*(IF(K70&lt;&gt;"",K70,L70)-J70),"")</f>
        <v/>
      </c>
      <c r="O70" s="8" t="n">
        <v>0.6</v>
      </c>
      <c r="P70" s="2" t="n"/>
      <c r="Q70"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1">
      <c r="A71" s="2" t="inlineStr">
        <is>
          <t>2026-10-14</t>
        </is>
      </c>
      <c r="B71" s="2" t="inlineStr">
        <is>
          <t>TSLA</t>
        </is>
      </c>
      <c r="C71" s="2" t="inlineStr">
        <is>
          <t>TSLA</t>
        </is>
      </c>
      <c r="D71" s="2" t="inlineStr">
        <is>
          <t>position (lifecycle)</t>
        </is>
      </c>
      <c r="E71" s="2" t="inlineStr">
        <is>
          <t>Short</t>
        </is>
      </c>
      <c r="F71" s="2" t="inlineStr">
        <is>
          <t>Open</t>
        </is>
      </c>
      <c r="G71" s="2" t="inlineStr">
        <is>
          <t>2026-10-15</t>
        </is>
      </c>
      <c r="H71" s="2" t="inlineStr"/>
      <c r="I71" s="4" t="n">
        <v>-4</v>
      </c>
      <c r="J71" s="5" t="n">
        <v>362.625</v>
      </c>
      <c r="K71" s="5" t="n"/>
      <c r="L71" s="5" t="n">
        <v>386.72</v>
      </c>
      <c r="M71" s="7">
        <f>IFERROR(IF(E71="Short",-1,1)*(IF(K71&lt;&gt;"",K71,L71)/J71-1),"")</f>
        <v/>
      </c>
      <c r="N71" s="6">
        <f>IFERROR(I71*(IF(K71&lt;&gt;"",K71,L71)-J71),"")</f>
        <v/>
      </c>
      <c r="O71" s="8" t="n">
        <v>0.4</v>
      </c>
      <c r="P71" s="2" t="n"/>
      <c r="Q7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sheetData>
  <autoFilter ref="A1:O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54870.3210651768</v>
      </c>
      <c r="D12" s="7">
        <f>IF(C11&gt;0,(B12-B11)/C11,"")</f>
        <v/>
      </c>
      <c r="E12" s="3">
        <f>B12-$B$2</f>
        <v/>
      </c>
      <c r="F12" s="7">
        <f>IF(C12&gt;0,E12/C12,"")</f>
        <v/>
      </c>
    </row>
    <row r="13">
      <c r="A13" s="2" t="inlineStr">
        <is>
          <t>2026-10-16</t>
        </is>
      </c>
      <c r="B13" s="12" t="n">
        <v>98144.96000000001</v>
      </c>
      <c r="C13" s="12" t="n">
        <v>54870.3210651768</v>
      </c>
      <c r="D13" s="7">
        <f>IF(C12&gt;0,(B13-B12)/C12,"")</f>
        <v/>
      </c>
      <c r="E13" s="3">
        <f>B13-$B$2</f>
        <v/>
      </c>
      <c r="F13" s="7">
        <f>IF(C13&gt;0,E13/C13,"")</f>
        <v/>
      </c>
    </row>
    <row r="14">
      <c r="A14" s="2" t="inlineStr">
        <is>
          <t>2026-10-17</t>
        </is>
      </c>
      <c r="B14" s="12" t="n">
        <v>97920.66</v>
      </c>
      <c r="C14" s="12" t="n">
        <v>54870.3210651768</v>
      </c>
      <c r="D14" s="7">
        <f>IF(C13&gt;0,(B14-B13)/C13,"")</f>
        <v/>
      </c>
      <c r="E14" s="3">
        <f>B14-$B$2</f>
        <v/>
      </c>
      <c r="F14" s="7">
        <f>IF(C14&gt;0,E14/C14,"")</f>
        <v/>
      </c>
    </row>
    <row r="15">
      <c r="A15" s="2" t="inlineStr">
        <is>
          <t>2026-10-20</t>
        </is>
      </c>
      <c r="B15" s="12" t="n">
        <v>98431.86</v>
      </c>
      <c r="C15" s="12" t="n">
        <v>49911.64576817681</v>
      </c>
      <c r="D15" s="7">
        <f>IF(C14&gt;0,(B15-B14)/C14,"")</f>
        <v/>
      </c>
      <c r="E15" s="3">
        <f>B15-$B$2</f>
        <v/>
      </c>
      <c r="F15" s="7">
        <f>IF(C15&gt;0,E15/C15,"")</f>
        <v/>
      </c>
    </row>
  </sheetData>
  <autoFilter ref="A1:F1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sheetData>
  <autoFilter ref="A1:F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2026-10-21T18:16:03Z</dcterms:created>
  <dcterms:modified xmlns:dcterms="http://purl.org/dc/terms/" xmlns:xsi="http://www.w3.org/2001/XMLSchema-instance" xsi:type="dcterms:W3CDTF">2026-10-21T18:16:07Z</dcterms:modified>
</cp:coreProperties>
</file>