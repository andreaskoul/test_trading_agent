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trades'!$A$1:$H$15</definedName>
    <definedName name="_xlnm._FilterDatabase" localSheetId="3" hidden="1">'Positions'!$A$1:$Q$38</definedName>
    <definedName name="_xlnm._FilterDatabase" localSheetId="4" hidden="1">'Orders'!$A$1:$O$55</definedName>
    <definedName name="_xlnm._FilterDatabase" localSheetId="5" hidden="1">'Account'!$A$1:$F$11</definedName>
    <definedName name="_xlnm._FilterDatabase" localSheetId="6" hidden="1">'Cash activity'!$A$1:$F$12</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2026-10-15 14:16 ET)</t>
        </is>
      </c>
      <c r="B2" s="3" t="n">
        <v>98007.2629</v>
      </c>
    </row>
    <row r="3">
      <c r="A3" s="2" t="inlineStr">
        <is>
          <t>Net deposits</t>
        </is>
      </c>
      <c r="B3" s="3" t="n">
        <v>100000</v>
      </c>
    </row>
    <row r="4">
      <c r="A4" s="2" t="inlineStr">
        <is>
          <t>Account P&amp;L</t>
        </is>
      </c>
      <c r="B4" s="3">
        <f>B2-B3</f>
        <v/>
      </c>
    </row>
    <row r="5">
      <c r="A5" s="2" t="inlineStr">
        <is>
          <t>Realized P&amp;L (closed shares, FIFO)</t>
        </is>
      </c>
      <c r="B5" s="3" t="n">
        <v>-86.23999999999899</v>
      </c>
    </row>
    <row r="6">
      <c r="A6" s="2" t="inlineStr">
        <is>
          <t>Unrealized P&amp;L (open shares at Alpaca marks)</t>
        </is>
      </c>
      <c r="B6" s="3" t="n">
        <v>-1905.117099999998</v>
      </c>
    </row>
    <row r="7">
      <c r="A7" s="2" t="inlineStr">
        <is>
          <t>Dividends, fees &amp; interest</t>
        </is>
      </c>
      <c r="B7" s="3" t="n">
        <v>-1.38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550.6799999999999</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337.835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186.71</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527.79</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273.885</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349.345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58.6176</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846.6113</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1264.52</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100.02</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243</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737.59</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235.58</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37.605</v>
      </c>
      <c r="H15" s="6">
        <f>D15*G15</f>
        <v/>
      </c>
      <c r="I15" s="3">
        <f>D15*(G15-F15)</f>
        <v/>
      </c>
      <c r="J15" s="7">
        <f>IF(D15&gt;0,1,-1)*(G15/F15-1)</f>
        <v/>
      </c>
    </row>
    <row r="16">
      <c r="A16" s="2" t="inlineStr">
        <is>
          <t>NVDA</t>
        </is>
      </c>
      <c r="B16" s="2" t="inlineStr">
        <is>
          <t>Nvidia</t>
        </is>
      </c>
      <c r="C16" s="2" t="inlineStr">
        <is>
          <t>Long</t>
        </is>
      </c>
      <c r="D16" s="4" t="n">
        <v>7</v>
      </c>
      <c r="E16" s="2" t="inlineStr">
        <is>
          <t>2026-10-08</t>
        </is>
      </c>
      <c r="F16" s="5" t="n">
        <v>230.4985714285714</v>
      </c>
      <c r="G16" s="5" t="n">
        <v>217.035</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130.07</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1342.69</v>
      </c>
      <c r="H18" s="6">
        <f>D18*G18</f>
        <v/>
      </c>
      <c r="I18" s="3">
        <f>D18*(G18-F18)</f>
        <v/>
      </c>
      <c r="J18" s="7">
        <f>IF(D18&gt;0,1,-1)*(G18/F18-1)</f>
        <v/>
      </c>
    </row>
    <row r="19">
      <c r="A19" s="2" t="inlineStr">
        <is>
          <t>SPY</t>
        </is>
      </c>
      <c r="B19" s="2" t="inlineStr">
        <is>
          <t>SPDR S&amp;P 500 ETF</t>
        </is>
      </c>
      <c r="C19" s="2" t="inlineStr">
        <is>
          <t>Short</t>
        </is>
      </c>
      <c r="D19" s="4" t="n">
        <v>-15</v>
      </c>
      <c r="E19" s="2" t="inlineStr">
        <is>
          <t>2026-10-08</t>
        </is>
      </c>
      <c r="F19" s="5" t="n">
        <v>773.95</v>
      </c>
      <c r="G19" s="5" t="n">
        <v>769.5599999999999</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671.38</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343.91</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Nvidia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769.6</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904.585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904.585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72.92</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527.75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98.63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129.785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769.6</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769.6</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769.6</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769.5900268554688</v>
      </c>
      <c r="L13" s="5" t="n">
        <v>769.6</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550.5700000000001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550.5499877929688</v>
      </c>
      <c r="L15" s="5" t="n">
        <v>550.5700000000001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337.82</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337.82</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337.8200073242188</v>
      </c>
      <c r="L18" s="5" t="n">
        <v>337.82</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186.6999969482422</v>
      </c>
      <c r="L19" s="5" t="n">
        <v>186.545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273.9100036621094</v>
      </c>
      <c r="L20" s="5" t="n">
        <v>274.24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349.3399963378906</v>
      </c>
      <c r="L21" s="5" t="n">
        <v>349.36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58.60499954223633</v>
      </c>
      <c r="L22" s="5" t="n">
        <v>58.58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846.34912109375</v>
      </c>
      <c r="L23" s="5" t="n">
        <v>846.13</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1264.52001953125</v>
      </c>
      <c r="L24" s="5" t="n">
        <v>1266.225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235.5749969482422</v>
      </c>
      <c r="L25" s="5" t="n">
        <v>235.02</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217.06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217.0399932861328</v>
      </c>
      <c r="L27" s="5" t="n">
        <v>217.06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527.7750244140625</v>
      </c>
      <c r="L28" s="5" t="n">
        <v>527.75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100.0800018310547</v>
      </c>
      <c r="L29" s="5" t="n">
        <v>98.63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242.9850006103516</v>
      </c>
      <c r="L30" s="5" t="n">
        <v>243</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737.6099853515625</v>
      </c>
      <c r="L31" s="5" t="n">
        <v>733.225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37.60499954223633</v>
      </c>
      <c r="L32" s="5" t="n">
        <v>37.605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130.51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130.0800018310547</v>
      </c>
      <c r="L34" s="5" t="n">
        <v>130.51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1344.78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1342.670043945312</v>
      </c>
      <c r="L36" s="5" t="n">
        <v>1344.78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671.219970703125</v>
      </c>
      <c r="L37" s="5" t="n">
        <v>671.4400000000001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343.9549865722656</v>
      </c>
      <c r="L38" s="5" t="n">
        <v>343.965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sheetData>
  <autoFilter ref="A1:O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sheetData>
  <autoFilter ref="A1:F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sheetData>
  <autoFilter ref="A1:F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2026-10-15T18:16:23Z</dcterms:created>
  <dcterms:modified xmlns:dcterms="http://purl.org/dc/terms/" xmlns:xsi="http://www.w3.org/2001/XMLSchema-instance" xsi:type="dcterms:W3CDTF">2026-10-15T18:16:25Z</dcterms:modified>
</cp:coreProperties>
</file>