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'Positions'!$A$1:$Q$21</definedName>
    <definedName name="_xlnm._FilterDatabase" localSheetId="1" hidden="1">'Orders'!$A$1:$N$21</definedName>
    <definedName name="_xlnm._FilterDatabase" localSheetId="2" hidden="1">'Account'!$A$1:$D$3</definedName>
    <definedName name="_xlnm._FilterDatabase" localSheetId="3" hidden="1">'Cash activity'!$A$1:$F$3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
    <numFmt numFmtId="170" formatCode="#,##0.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Open</t>
        </is>
      </c>
      <c r="G2" s="2" t="inlineStr">
        <is>
          <t>2026-10-01</t>
        </is>
      </c>
      <c r="H2" s="2" t="inlineStr"/>
      <c r="I2" s="3" t="n">
        <v>-21</v>
      </c>
      <c r="J2" s="4" t="n">
        <v>763.989990234375</v>
      </c>
      <c r="K2" s="4" t="n"/>
      <c r="L2" s="4" t="n">
        <v>763.989990234375</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Open</t>
        </is>
      </c>
      <c r="G3" s="2" t="inlineStr">
        <is>
          <t>2026-10-01</t>
        </is>
      </c>
      <c r="H3" s="2" t="inlineStr"/>
      <c r="I3" s="3" t="n">
        <v>3</v>
      </c>
      <c r="J3" s="4" t="n">
        <v>987.38</v>
      </c>
      <c r="K3" s="4" t="n"/>
      <c r="L3" s="4" t="n">
        <v>987.4500122070312</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HPE</t>
        </is>
      </c>
      <c r="C4" s="2" t="inlineStr">
        <is>
          <t>Hewlett Packard Enterprise</t>
        </is>
      </c>
      <c r="D4" s="2" t="inlineStr">
        <is>
          <t>position</t>
        </is>
      </c>
      <c r="E4" s="2" t="inlineStr">
        <is>
          <t>Long</t>
        </is>
      </c>
      <c r="F4" s="2" t="inlineStr">
        <is>
          <t>Open</t>
        </is>
      </c>
      <c r="G4" s="2" t="inlineStr">
        <is>
          <t>2026-10-01</t>
        </is>
      </c>
      <c r="H4" s="2" t="inlineStr"/>
      <c r="I4" s="3" t="n">
        <v>49</v>
      </c>
      <c r="J4" s="4" t="n">
        <v>64.58000183105469</v>
      </c>
      <c r="K4" s="4" t="n"/>
      <c r="L4" s="4" t="n">
        <v>64.58000183105469</v>
      </c>
      <c r="M4" s="5">
        <f>IFERROR(IF(E4="Short",-1,1)*(IF(K4&lt;&gt;"",K4,L4)/J4-1),"")</f>
        <v/>
      </c>
      <c r="N4" s="6">
        <f>IFERROR(I4*(IF(K4&lt;&gt;"",K4,L4)-J4),"")</f>
        <v/>
      </c>
      <c r="O4" s="7" t="n">
        <v>0.65</v>
      </c>
      <c r="P4" s="2" t="inlineStr">
        <is>
          <t>weaken</t>
        </is>
      </c>
      <c r="Q4" s="8" t="inlineStr">
        <is>
          <t>HPE's Sep 30 $1.2B Vultr AMD Helios order and raised FY27 networking growth guidance are material positives. Despite a 4.5% intraday pop, the week's return is still negative, suggesting the news is not fully priced. Expect continued outperformance as analysts revise estimates upward.</t>
        </is>
      </c>
    </row>
    <row r="5">
      <c r="A5" s="2" t="inlineStr">
        <is>
          <t>2026-09-30</t>
        </is>
      </c>
      <c r="B5" s="2" t="inlineStr">
        <is>
          <t>LITE</t>
        </is>
      </c>
      <c r="C5" s="2" t="inlineStr">
        <is>
          <t>Lumentum</t>
        </is>
      </c>
      <c r="D5" s="2" t="inlineStr">
        <is>
          <t>position</t>
        </is>
      </c>
      <c r="E5" s="2" t="inlineStr">
        <is>
          <t>Long</t>
        </is>
      </c>
      <c r="F5" s="2" t="inlineStr">
        <is>
          <t>Open</t>
        </is>
      </c>
      <c r="G5" s="2" t="inlineStr">
        <is>
          <t>2026-10-01</t>
        </is>
      </c>
      <c r="H5" s="2" t="inlineStr"/>
      <c r="I5" s="3" t="n">
        <v>3</v>
      </c>
      <c r="J5" s="4" t="n">
        <v>1045.780029296875</v>
      </c>
      <c r="K5" s="4" t="n"/>
      <c r="L5" s="4" t="n">
        <v>1045.780029296875</v>
      </c>
      <c r="M5" s="5">
        <f>IFERROR(IF(E5="Short",-1,1)*(IF(K5&lt;&gt;"",K5,L5)/J5-1),"")</f>
        <v/>
      </c>
      <c r="N5" s="6">
        <f>IFERROR(I5*(IF(K5&lt;&gt;"",K5,L5)-J5),"")</f>
        <v/>
      </c>
      <c r="O5" s="7" t="n">
        <v>0.55</v>
      </c>
      <c r="P5" s="2" t="inlineStr">
        <is>
          <t>uphold</t>
        </is>
      </c>
      <c r="Q5" s="8" t="inlineStr">
        <is>
          <t>AI Optics Boom story is gaining share (43% vs 36% 4-wk avg) on laser/OCS demand and margin expansion, supporting a modest long. But no new material event, Bernstein initiation is price-target chatter, and high volatility/sentiment swings limit conviction.</t>
        </is>
      </c>
    </row>
    <row r="6">
      <c r="A6" s="2" t="inlineStr">
        <is>
          <t>2026-09-30</t>
        </is>
      </c>
      <c r="B6" s="2" t="inlineStr">
        <is>
          <t>LLY</t>
        </is>
      </c>
      <c r="C6" s="2" t="inlineStr">
        <is>
          <t>Lilly (Eli)</t>
        </is>
      </c>
      <c r="D6" s="2" t="inlineStr">
        <is>
          <t>position</t>
        </is>
      </c>
      <c r="E6" s="2" t="inlineStr">
        <is>
          <t>Long</t>
        </is>
      </c>
      <c r="F6" s="2" t="inlineStr">
        <is>
          <t>Open</t>
        </is>
      </c>
      <c r="G6" s="2" t="inlineStr">
        <is>
          <t>2026-10-01</t>
        </is>
      </c>
      <c r="H6" s="2" t="inlineStr"/>
      <c r="I6" s="3" t="n">
        <v>3</v>
      </c>
      <c r="J6" s="4" t="n">
        <v>1149.849975585938</v>
      </c>
      <c r="K6" s="4" t="n"/>
      <c r="L6" s="4" t="n">
        <v>1149.849975585938</v>
      </c>
      <c r="M6" s="5">
        <f>IFERROR(IF(E6="Short",-1,1)*(IF(K6&lt;&gt;"",K6,L6)/J6-1),"")</f>
        <v/>
      </c>
      <c r="N6" s="6">
        <f>IFERROR(I6*(IF(K6&lt;&gt;"",K6,L6)-J6),"")</f>
        <v/>
      </c>
      <c r="O6" s="7" t="n">
        <v>0.6</v>
      </c>
      <c r="P6" s="2" t="inlineStr">
        <is>
          <t>uphold</t>
        </is>
      </c>
      <c r="Q6" s="8" t="inlineStr">
        <is>
          <t>Retatrutide TRIUMPH-2 Phase 3 data (Sep 29-30) showed ~50 lb weight loss, with BLA submission Q1 2027; Foundayo and Zepbound beat rivals in EASD comparisons. Multiple FDA approvals and InnoCare deal add momentum. Competitive threats from Novo's CV data and Viking cap upside.</t>
        </is>
      </c>
    </row>
    <row r="7">
      <c r="A7" s="2" t="inlineStr">
        <is>
          <t>2026-09-30</t>
        </is>
      </c>
      <c r="B7" s="2" t="inlineStr">
        <is>
          <t>MU</t>
        </is>
      </c>
      <c r="C7" s="2" t="inlineStr">
        <is>
          <t>Micron Technology</t>
        </is>
      </c>
      <c r="D7" s="2" t="inlineStr">
        <is>
          <t>position</t>
        </is>
      </c>
      <c r="E7" s="2" t="inlineStr">
        <is>
          <t>Long</t>
        </is>
      </c>
      <c r="F7" s="2" t="inlineStr">
        <is>
          <t>Open</t>
        </is>
      </c>
      <c r="G7" s="2" t="inlineStr">
        <is>
          <t>2026-10-01</t>
        </is>
      </c>
      <c r="H7" s="2" t="inlineStr"/>
      <c r="I7" s="3" t="n">
        <v>3</v>
      </c>
      <c r="J7" s="4" t="n">
        <v>1097.61</v>
      </c>
      <c r="K7" s="4" t="n"/>
      <c r="L7" s="4" t="n">
        <v>1097.390014648438</v>
      </c>
      <c r="M7" s="5">
        <f>IFERROR(IF(E7="Short",-1,1)*(IF(K7&lt;&gt;"",K7,L7)/J7-1),"")</f>
        <v/>
      </c>
      <c r="N7" s="6">
        <f>IFERROR(I7*(IF(K7&lt;&gt;"",K7,L7)-J7),"")</f>
        <v/>
      </c>
      <c r="O7" s="7" t="n">
        <v>0.6</v>
      </c>
      <c r="P7" s="2" t="inlineStr">
        <is>
          <t>weaken</t>
        </is>
      </c>
      <c r="Q7"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8">
      <c r="A8" s="2" t="inlineStr">
        <is>
          <t>2026-09-30</t>
        </is>
      </c>
      <c r="B8" s="2" t="inlineStr">
        <is>
          <t>NFLX</t>
        </is>
      </c>
      <c r="C8" s="2" t="inlineStr">
        <is>
          <t>Netflix</t>
        </is>
      </c>
      <c r="D8" s="2" t="inlineStr">
        <is>
          <t>position</t>
        </is>
      </c>
      <c r="E8" s="2" t="inlineStr">
        <is>
          <t>Long</t>
        </is>
      </c>
      <c r="F8" s="2" t="inlineStr">
        <is>
          <t>Open</t>
        </is>
      </c>
      <c r="G8" s="2" t="inlineStr">
        <is>
          <t>2026-10-01</t>
        </is>
      </c>
      <c r="H8" s="2" t="inlineStr"/>
      <c r="I8" s="3" t="n">
        <v>39</v>
      </c>
      <c r="J8" s="4" t="n">
        <v>67.84999999999999</v>
      </c>
      <c r="K8" s="4" t="n"/>
      <c r="L8" s="4" t="n">
        <v>67.84999847412109</v>
      </c>
      <c r="M8" s="5">
        <f>IFERROR(IF(E8="Short",-1,1)*(IF(K8&lt;&gt;"",K8,L8)/J8-1),"")</f>
        <v/>
      </c>
      <c r="N8" s="6">
        <f>IFERROR(I8*(IF(K8&lt;&gt;"",K8,L8)-J8),"")</f>
        <v/>
      </c>
      <c r="O8" s="7" t="n">
        <v>0.55</v>
      </c>
      <c r="P8" s="2" t="inlineStr">
        <is>
          <t>uphold</t>
        </is>
      </c>
      <c r="Q8" s="8" t="inlineStr">
        <is>
          <t>Deutsche Bank's Sep 29 upgrade to Buy is a new story now 40% of coverage, and the selloff-debate narrative is fading, suggesting a near-term bounce. But the upgrade came with a lowered target and weak engagement trends persist, capping conviction.</t>
        </is>
      </c>
    </row>
    <row r="9">
      <c r="A9" s="2" t="inlineStr">
        <is>
          <t>2026-09-30</t>
        </is>
      </c>
      <c r="B9" s="2" t="inlineStr">
        <is>
          <t>NVDA</t>
        </is>
      </c>
      <c r="C9" s="2" t="inlineStr">
        <is>
          <t>Nvidia</t>
        </is>
      </c>
      <c r="D9" s="2" t="inlineStr">
        <is>
          <t>position</t>
        </is>
      </c>
      <c r="E9" s="2" t="inlineStr">
        <is>
          <t>Long</t>
        </is>
      </c>
      <c r="F9" s="2" t="inlineStr">
        <is>
          <t>Open</t>
        </is>
      </c>
      <c r="G9" s="2" t="inlineStr">
        <is>
          <t>2026-10-01</t>
        </is>
      </c>
      <c r="H9" s="2" t="inlineStr"/>
      <c r="I9" s="3" t="n">
        <v>14</v>
      </c>
      <c r="J9" s="4" t="n">
        <v>230.8600006103516</v>
      </c>
      <c r="K9" s="4" t="n"/>
      <c r="L9" s="4" t="n">
        <v>230.8600006103516</v>
      </c>
      <c r="M9" s="5">
        <f>IFERROR(IF(E9="Short",-1,1)*(IF(K9&lt;&gt;"",K9,L9)/J9-1),"")</f>
        <v/>
      </c>
      <c r="N9" s="6">
        <f>IFERROR(I9*(IF(K9&lt;&gt;"",K9,L9)-J9),"")</f>
        <v/>
      </c>
      <c r="O9" s="7" t="n">
        <v>0.68</v>
      </c>
      <c r="P9" s="2" t="inlineStr">
        <is>
          <t>uphold</t>
        </is>
      </c>
      <c r="Q9" s="8" t="inlineStr">
        <is>
          <t>Nvidia's record $150B buyback (Sep 28) and reported China opening for ByteDance/Alibaba GPU purchases are fresh positives, with AI Dominance coverage rising to 50% share. Stock near highs but only +0.75% on week, so news not fully priced; expect relative outperformance.</t>
        </is>
      </c>
    </row>
    <row r="10">
      <c r="A10" s="2" t="inlineStr">
        <is>
          <t>2026-09-30</t>
        </is>
      </c>
      <c r="B10" s="2" t="inlineStr">
        <is>
          <t>RTX</t>
        </is>
      </c>
      <c r="C10" s="2" t="inlineStr">
        <is>
          <t>RTX Corporation</t>
        </is>
      </c>
      <c r="D10" s="2" t="inlineStr">
        <is>
          <t>position</t>
        </is>
      </c>
      <c r="E10" s="2" t="inlineStr">
        <is>
          <t>Long</t>
        </is>
      </c>
      <c r="F10" s="2" t="inlineStr">
        <is>
          <t>Open</t>
        </is>
      </c>
      <c r="G10" s="2" t="inlineStr">
        <is>
          <t>2026-10-01</t>
        </is>
      </c>
      <c r="H10" s="2" t="inlineStr"/>
      <c r="I10" s="3" t="n">
        <v>16</v>
      </c>
      <c r="J10" s="4" t="n">
        <v>185.0099945068359</v>
      </c>
      <c r="K10" s="4" t="n"/>
      <c r="L10" s="4" t="n">
        <v>185.0099945068359</v>
      </c>
      <c r="M10" s="5">
        <f>IFERROR(IF(E10="Short",-1,1)*(IF(K10&lt;&gt;"",K10,L10)/J10-1),"")</f>
        <v/>
      </c>
      <c r="N10" s="6">
        <f>IFERROR(I10*(IF(K10&lt;&gt;"",K10,L10)-J10),"")</f>
        <v/>
      </c>
      <c r="O10" s="7" t="n">
        <v>0.6</v>
      </c>
      <c r="P10" s="2" t="inlineStr">
        <is>
          <t>uphold</t>
        </is>
      </c>
      <c r="Q10" s="8" t="inlineStr">
        <is>
          <t>RTX secured a major $20.7B AMRAAM contract on Sep 29 and Pratt &amp; Whitney engine deals, supporting defense growth. With the stock down 6.9% in a month, positive contract news may drive modest outperformance next week, though backlog conversion concerns and fading defense-spending coverage limit upside.</t>
        </is>
      </c>
    </row>
    <row r="11">
      <c r="A11" s="2" t="inlineStr">
        <is>
          <t>2026-09-30</t>
        </is>
      </c>
      <c r="B11" s="2" t="inlineStr">
        <is>
          <t>SNDK</t>
        </is>
      </c>
      <c r="C11" s="2" t="inlineStr">
        <is>
          <t>Sandisk</t>
        </is>
      </c>
      <c r="D11" s="2" t="inlineStr">
        <is>
          <t>position</t>
        </is>
      </c>
      <c r="E11" s="2" t="inlineStr">
        <is>
          <t>Long</t>
        </is>
      </c>
      <c r="F11" s="2" t="inlineStr">
        <is>
          <t>Open</t>
        </is>
      </c>
      <c r="G11" s="2" t="inlineStr">
        <is>
          <t>2026-10-01</t>
        </is>
      </c>
      <c r="H11" s="2" t="inlineStr"/>
      <c r="I11" s="3" t="n">
        <v>3</v>
      </c>
      <c r="J11" s="4" t="n">
        <v>1787.68994140625</v>
      </c>
      <c r="K11" s="4" t="n"/>
      <c r="L11" s="4" t="n">
        <v>1787.68994140625</v>
      </c>
      <c r="M11" s="5">
        <f>IFERROR(IF(E11="Short",-1,1)*(IF(K11&lt;&gt;"",K11,L11)/J11-1),"")</f>
        <v/>
      </c>
      <c r="N11" s="6">
        <f>IFERROR(I11*(IF(K11&lt;&gt;"",K11,L11)-J11),"")</f>
        <v/>
      </c>
      <c r="O11" s="7" t="n">
        <v>0.5</v>
      </c>
      <c r="P11" s="2" t="inlineStr">
        <is>
          <t>uphold</t>
        </is>
      </c>
      <c r="Q11" s="8" t="inlineStr">
        <is>
          <t>Micron's Sept 30 record FQ4 (revenue +350%, EPS +793%, above high end of guidance) reads across to Sandisk as a NAND peer. SNDK fell 4.8% last week, so the read-across is not yet priced. Sandisk's own AI-storage boom, $14B buyback and $94B contracts reinforce the long.</t>
        </is>
      </c>
    </row>
    <row r="12">
      <c r="A12" s="2" t="inlineStr">
        <is>
          <t>2026-09-30</t>
        </is>
      </c>
      <c r="B12" s="2" t="inlineStr">
        <is>
          <t>WBD</t>
        </is>
      </c>
      <c r="C12" s="2" t="inlineStr">
        <is>
          <t>Warner Bros. Discovery</t>
        </is>
      </c>
      <c r="D12" s="2" t="inlineStr">
        <is>
          <t>position</t>
        </is>
      </c>
      <c r="E12" s="2" t="inlineStr">
        <is>
          <t>Long</t>
        </is>
      </c>
      <c r="F12" s="2" t="inlineStr">
        <is>
          <t>Open</t>
        </is>
      </c>
      <c r="G12" s="2" t="inlineStr">
        <is>
          <t>2026-10-01</t>
        </is>
      </c>
      <c r="H12" s="2" t="inlineStr"/>
      <c r="I12" s="3" t="n">
        <v>225</v>
      </c>
      <c r="J12" s="4" t="n">
        <v>30.95000076293945</v>
      </c>
      <c r="K12" s="4" t="n"/>
      <c r="L12" s="4" t="n">
        <v>30.95000076293945</v>
      </c>
      <c r="M12" s="5">
        <f>IFERROR(IF(E12="Short",-1,1)*(IF(K12&lt;&gt;"",K12,L12)/J12-1),"")</f>
        <v/>
      </c>
      <c r="N12" s="6">
        <f>IFERROR(I12*(IF(K12&lt;&gt;"",K12,L12)-J12),"")</f>
        <v/>
      </c>
      <c r="O12" s="7" t="n">
        <v>0.72</v>
      </c>
      <c r="P12" s="2" t="inlineStr">
        <is>
          <t>uphold</t>
        </is>
      </c>
      <c r="Q12" s="8" t="inlineStr">
        <is>
          <t>Paramount and WBD announced the anticipated merger closing date on Sep 30, after settling state antitrust challenges. This materially reduces deal risk and should drive merger-arb interest in WBD next week. Argus downgrade is opinion, not a fundamental offset.</t>
        </is>
      </c>
    </row>
    <row r="13">
      <c r="A13" s="2" t="inlineStr">
        <is>
          <t>2026-09-30</t>
        </is>
      </c>
      <c r="B13" s="2" t="inlineStr">
        <is>
          <t>AMD</t>
        </is>
      </c>
      <c r="C13" s="2" t="inlineStr">
        <is>
          <t>Advanced Micro Devices</t>
        </is>
      </c>
      <c r="D13" s="2" t="inlineStr">
        <is>
          <t>position</t>
        </is>
      </c>
      <c r="E13" s="2" t="inlineStr">
        <is>
          <t>Short</t>
        </is>
      </c>
      <c r="F13" s="2" t="inlineStr">
        <is>
          <t>Open</t>
        </is>
      </c>
      <c r="G13" s="2" t="inlineStr">
        <is>
          <t>2026-10-01</t>
        </is>
      </c>
      <c r="H13" s="2" t="inlineStr"/>
      <c r="I13" s="3" t="n">
        <v>-5</v>
      </c>
      <c r="J13" s="4" t="n">
        <v>615.72998046875</v>
      </c>
      <c r="K13" s="4" t="n"/>
      <c r="L13" s="4" t="n">
        <v>615.72998046875</v>
      </c>
      <c r="M13" s="5">
        <f>IFERROR(IF(E13="Short",-1,1)*(IF(K13&lt;&gt;"",K13,L13)/J13-1),"")</f>
        <v/>
      </c>
      <c r="N13" s="6">
        <f>IFERROR(I13*(IF(K13&lt;&gt;"",K13,L13)-J13),"")</f>
        <v/>
      </c>
      <c r="O13" s="7" t="n">
        <v>0.57</v>
      </c>
      <c r="P13" s="2" t="inlineStr">
        <is>
          <t>uphold</t>
        </is>
      </c>
      <c r="Q13" s="8" t="inlineStr">
        <is>
          <t>AMD's $8.2B World Labs acquisition (Sep 28) triggered a 4% drop and adds integration/dilution risk after a 33% monthly run. HPE's $1.2B Vultr Helios order (Sep 30) is positive, but valuation and fading momentum story likely cap relative upside next week.</t>
        </is>
      </c>
    </row>
    <row r="14">
      <c r="A14" s="2" t="inlineStr">
        <is>
          <t>2026-09-30</t>
        </is>
      </c>
      <c r="B14" s="2" t="inlineStr">
        <is>
          <t>AVGO</t>
        </is>
      </c>
      <c r="C14" s="2" t="inlineStr">
        <is>
          <t>Broadcom</t>
        </is>
      </c>
      <c r="D14" s="2" t="inlineStr">
        <is>
          <t>position</t>
        </is>
      </c>
      <c r="E14" s="2" t="inlineStr">
        <is>
          <t>Short</t>
        </is>
      </c>
      <c r="F14" s="2" t="inlineStr">
        <is>
          <t>Open</t>
        </is>
      </c>
      <c r="G14" s="2" t="inlineStr">
        <is>
          <t>2026-10-01</t>
        </is>
      </c>
      <c r="H14" s="2" t="inlineStr"/>
      <c r="I14" s="3" t="n">
        <v>-7</v>
      </c>
      <c r="J14" s="4" t="n">
        <v>343.6400146484375</v>
      </c>
      <c r="K14" s="4" t="n"/>
      <c r="L14" s="4" t="n">
        <v>343.6400146484375</v>
      </c>
      <c r="M14" s="5">
        <f>IFERROR(IF(E14="Short",-1,1)*(IF(K14&lt;&gt;"",K14,L14)/J14-1),"")</f>
        <v/>
      </c>
      <c r="N14" s="6">
        <f>IFERROR(I14*(IF(K14&lt;&gt;"",K14,L14)-J14),"")</f>
        <v/>
      </c>
      <c r="O14" s="7" t="n">
        <v>0.5</v>
      </c>
      <c r="P14" s="2" t="inlineStr">
        <is>
          <t>uphold</t>
        </is>
      </c>
      <c r="Q14" s="8" t="inlineStr">
        <is>
          <t>AVGO's dominant AI $230B-forecast and Q3-earnings narratives are fading (32% and 16% share vs 42%/37% averages) with post-earnings price-target hikes already priced (stock flat 1w, -3% 1m). A fresh China 'switch review' regulatory risk (Sep 24-28) threatens 17% of sales. Apple deal rise is only a modest offset.</t>
        </is>
      </c>
    </row>
    <row r="15">
      <c r="A15" s="2" t="inlineStr">
        <is>
          <t>2026-09-30</t>
        </is>
      </c>
      <c r="B15" s="2" t="inlineStr">
        <is>
          <t>BRK.B</t>
        </is>
      </c>
      <c r="C15" s="2" t="inlineStr">
        <is>
          <t>Berkshire Hathaway</t>
        </is>
      </c>
      <c r="D15" s="2" t="inlineStr">
        <is>
          <t>position</t>
        </is>
      </c>
      <c r="E15" s="2" t="inlineStr">
        <is>
          <t>Short</t>
        </is>
      </c>
      <c r="F15" s="2" t="inlineStr">
        <is>
          <t>Open</t>
        </is>
      </c>
      <c r="G15" s="2" t="inlineStr">
        <is>
          <t>2026-10-01</t>
        </is>
      </c>
      <c r="H15" s="2" t="inlineStr"/>
      <c r="I15" s="3" t="n">
        <v>-6</v>
      </c>
      <c r="J15" s="4" t="n">
        <v>500.56</v>
      </c>
      <c r="K15" s="4" t="n"/>
      <c r="L15" s="4" t="n">
        <v>500.5</v>
      </c>
      <c r="M15" s="5">
        <f>IFERROR(IF(E15="Short",-1,1)*(IF(K15&lt;&gt;"",K15,L15)/J15-1),"")</f>
        <v/>
      </c>
      <c r="N15" s="6">
        <f>IFERROR(I15*(IF(K15&lt;&gt;"",K15,L15)-J15),"")</f>
        <v/>
      </c>
      <c r="O15" s="7" t="n">
        <v>0.6</v>
      </c>
      <c r="P15" s="2" t="inlineStr">
        <is>
          <t>uphold</t>
        </is>
      </c>
      <c r="Q15" s="8" t="inlineStr">
        <is>
          <t>Buffett's chairman exit and Howard's appointment add governance uncertainty, while the positive Abel/Alphabet narrative fades. Lennar stake increase is too small to offset. Expect slight underperformance next week.</t>
        </is>
      </c>
    </row>
    <row r="16">
      <c r="A16" s="2" t="inlineStr">
        <is>
          <t>2026-09-30</t>
        </is>
      </c>
      <c r="B16" s="2" t="inlineStr">
        <is>
          <t>FICO</t>
        </is>
      </c>
      <c r="C16" s="2" t="inlineStr">
        <is>
          <t>Fair Isaac</t>
        </is>
      </c>
      <c r="D16" s="2" t="inlineStr">
        <is>
          <t>position</t>
        </is>
      </c>
      <c r="E16" s="2" t="inlineStr">
        <is>
          <t>Short</t>
        </is>
      </c>
      <c r="F16" s="2" t="inlineStr">
        <is>
          <t>Open</t>
        </is>
      </c>
      <c r="G16" s="2" t="inlineStr">
        <is>
          <t>2026-10-01</t>
        </is>
      </c>
      <c r="H16" s="2" t="inlineStr"/>
      <c r="I16" s="3" t="n">
        <v>-9</v>
      </c>
      <c r="J16" s="4" t="n">
        <v>661.75</v>
      </c>
      <c r="K16" s="4" t="n"/>
      <c r="L16" s="4" t="n">
        <v>661.75</v>
      </c>
      <c r="M16" s="5">
        <f>IFERROR(IF(E16="Short",-1,1)*(IF(K16&lt;&gt;"",K16,L16)/J16-1),"")</f>
        <v/>
      </c>
      <c r="N16" s="6">
        <f>IFERROR(I16*(IF(K16&lt;&gt;"",K16,L16)-J16),"")</f>
        <v/>
      </c>
      <c r="O16" s="7" t="n">
        <v>0.6</v>
      </c>
      <c r="P16" s="2" t="inlineStr">
        <is>
          <t>uphold</t>
        </is>
      </c>
      <c r="Q16" s="8" t="inlineStr">
        <is>
          <t>FHFA's Sep 28-29 order letting Fannie/Freddie price mortgages with VantageScore ends FICO's mortgage-scoring monopoly, a structural moat hit. Coverage share jumped to 59% and is still rising; the 20-27% drop prices the headline but not the durable share/price erosion, so relative weakness likely persists next week.</t>
        </is>
      </c>
    </row>
    <row r="17">
      <c r="A17" s="2" t="inlineStr">
        <is>
          <t>2026-09-30</t>
        </is>
      </c>
      <c r="B17" s="2" t="inlineStr">
        <is>
          <t>HRL</t>
        </is>
      </c>
      <c r="C17" s="2" t="inlineStr">
        <is>
          <t>Hormel Foods</t>
        </is>
      </c>
      <c r="D17" s="2" t="inlineStr">
        <is>
          <t>position</t>
        </is>
      </c>
      <c r="E17" s="2" t="inlineStr">
        <is>
          <t>Short</t>
        </is>
      </c>
      <c r="F17" s="2" t="inlineStr">
        <is>
          <t>Open</t>
        </is>
      </c>
      <c r="G17" s="2" t="inlineStr">
        <is>
          <t>2026-10-01</t>
        </is>
      </c>
      <c r="H17" s="2" t="inlineStr"/>
      <c r="I17" s="3" t="n">
        <v>-151</v>
      </c>
      <c r="J17" s="4" t="n">
        <v>19.95999908447266</v>
      </c>
      <c r="K17" s="4" t="n"/>
      <c r="L17" s="4" t="n">
        <v>19.95999908447266</v>
      </c>
      <c r="M17" s="5">
        <f>IFERROR(IF(E17="Short",-1,1)*(IF(K17&lt;&gt;"",K17,L17)/J17-1),"")</f>
        <v/>
      </c>
      <c r="N17" s="6">
        <f>IFERROR(I17*(IF(K17&lt;&gt;"",K17,L17)-J17),"")</f>
        <v/>
      </c>
      <c r="O17" s="7" t="n">
        <v>0.6</v>
      </c>
      <c r="P17" s="2" t="inlineStr">
        <is>
          <t>uphold</t>
        </is>
      </c>
      <c r="Q17" s="8" t="inlineStr">
        <is>
          <t>Hormel's $1.055B cash Brakebush deal on Sep 30 triggered same-day S&amp;P and Moody's downgrades, raising leverage and funding costs. Fresh negative credit news plus integration risk into cyclical chicken should weigh next week, though the 10% one-month drop prices in some of it.</t>
        </is>
      </c>
    </row>
    <row r="18">
      <c r="A18" s="2" t="inlineStr">
        <is>
          <t>2026-09-30</t>
        </is>
      </c>
      <c r="B18" s="2" t="inlineStr">
        <is>
          <t>LULU</t>
        </is>
      </c>
      <c r="C18" s="2" t="inlineStr">
        <is>
          <t>Lululemon Athletica</t>
        </is>
      </c>
      <c r="D18" s="2" t="inlineStr">
        <is>
          <t>position</t>
        </is>
      </c>
      <c r="E18" s="2" t="inlineStr">
        <is>
          <t>Short</t>
        </is>
      </c>
      <c r="F18" s="2" t="inlineStr">
        <is>
          <t>Open</t>
        </is>
      </c>
      <c r="G18" s="2" t="inlineStr">
        <is>
          <t>2026-10-01</t>
        </is>
      </c>
      <c r="H18" s="2" t="inlineStr"/>
      <c r="I18" s="3" t="n">
        <v>-31</v>
      </c>
      <c r="J18" s="4" t="n">
        <v>95.87</v>
      </c>
      <c r="K18" s="4" t="n"/>
      <c r="L18" s="4" t="n">
        <v>95.86000061035156</v>
      </c>
      <c r="M18" s="5">
        <f>IFERROR(IF(E18="Short",-1,1)*(IF(K18&lt;&gt;"",K18,L18)/J18-1),"")</f>
        <v/>
      </c>
      <c r="N18" s="6">
        <f>IFERROR(I18*(IF(K18&lt;&gt;"",K18,L18)-J18),"")</f>
        <v/>
      </c>
      <c r="O18" s="7" t="n">
        <v>0.6</v>
      </c>
      <c r="P18" s="2" t="inlineStr">
        <is>
          <t>uphold</t>
        </is>
      </c>
      <c r="Q18" s="8" t="inlineStr">
        <is>
          <t>Fresh Sep 30 cash-flow skepticism and Sep 25 CEO/bylaw governance changes add to negative sentiment from Sep 3 guidance cut. With no earnings next week, LULU likely underperforms as the market questions cash durability and leadership transition.</t>
        </is>
      </c>
    </row>
    <row r="19">
      <c r="A19" s="2" t="inlineStr">
        <is>
          <t>2026-09-30</t>
        </is>
      </c>
      <c r="B19" s="2" t="inlineStr">
        <is>
          <t>ORCL</t>
        </is>
      </c>
      <c r="C19" s="2" t="inlineStr">
        <is>
          <t>Oracle Corporation</t>
        </is>
      </c>
      <c r="D19" s="2" t="inlineStr">
        <is>
          <t>position</t>
        </is>
      </c>
      <c r="E19" s="2" t="inlineStr">
        <is>
          <t>Short</t>
        </is>
      </c>
      <c r="F19" s="2" t="inlineStr">
        <is>
          <t>Open</t>
        </is>
      </c>
      <c r="G19" s="2" t="inlineStr">
        <is>
          <t>2026-10-01</t>
        </is>
      </c>
      <c r="H19" s="2" t="inlineStr"/>
      <c r="I19" s="3" t="n">
        <v>-23</v>
      </c>
      <c r="J19" s="4" t="n">
        <v>138.0700073242188</v>
      </c>
      <c r="K19" s="4" t="n"/>
      <c r="L19" s="4" t="n">
        <v>138.0700073242188</v>
      </c>
      <c r="M19" s="5">
        <f>IFERROR(IF(E19="Short",-1,1)*(IF(K19&lt;&gt;"",K19,L19)/J19-1),"")</f>
        <v/>
      </c>
      <c r="N19" s="6">
        <f>IFERROR(I19*(IF(K19&lt;&gt;"",K19,L19)-J19),"")</f>
        <v/>
      </c>
      <c r="O19" s="7" t="n">
        <v>0.62</v>
      </c>
      <c r="P19" s="2" t="inlineStr">
        <is>
          <t>uphold</t>
        </is>
      </c>
      <c r="Q19" s="8" t="inlineStr">
        <is>
          <t>Oracle's Sep 24 force majeure on Project Jupiter signals AI data-center delays and cost risk, while the AI debt bubble narrative is rising with Burry's new 2027 puts. The stock has already fallen sharply and Bloom contract was reaffirmed, limiting downside, but news flow remains negative. Expect modest underperformance next week.</t>
        </is>
      </c>
    </row>
    <row r="20">
      <c r="A20" s="2" t="inlineStr">
        <is>
          <t>2026-09-30</t>
        </is>
      </c>
      <c r="B20" s="2" t="inlineStr">
        <is>
          <t>STZ</t>
        </is>
      </c>
      <c r="C20" s="2" t="inlineStr">
        <is>
          <t>Constellation Brands</t>
        </is>
      </c>
      <c r="D20" s="2" t="inlineStr">
        <is>
          <t>position</t>
        </is>
      </c>
      <c r="E20" s="2" t="inlineStr">
        <is>
          <t>Short</t>
        </is>
      </c>
      <c r="F20" s="2" t="inlineStr">
        <is>
          <t>Open</t>
        </is>
      </c>
      <c r="G20" s="2" t="inlineStr">
        <is>
          <t>2026-10-01</t>
        </is>
      </c>
      <c r="H20" s="2" t="inlineStr"/>
      <c r="I20" s="3" t="n">
        <v>-24</v>
      </c>
      <c r="J20" s="4" t="n">
        <v>112.95</v>
      </c>
      <c r="K20" s="4" t="n"/>
      <c r="L20" s="4" t="n">
        <v>112.9899978637695</v>
      </c>
      <c r="M20" s="5">
        <f>IFERROR(IF(E20="Short",-1,1)*(IF(K20&lt;&gt;"",K20,L20)/J20-1),"")</f>
        <v/>
      </c>
      <c r="N20" s="6">
        <f>IFERROR(I20*(IF(K20&lt;&gt;"",K20,L20)-J20),"")</f>
        <v/>
      </c>
      <c r="O20" s="7" t="n">
        <v>0.55</v>
      </c>
      <c r="P20" s="2" t="inlineStr">
        <is>
          <t>uphold</t>
        </is>
      </c>
      <c r="Q20" s="8" t="inlineStr">
        <is>
          <t>New earnings story dominates: Q2 on Oct 6 expected EPS decline, negative ESP, and analyst target cuts. Selloff/outlook stories fading, but stock already down 12.8% in a month, so edge is modest. Binary event warrants lower confidence.</t>
        </is>
      </c>
    </row>
    <row r="21">
      <c r="A21" s="2" t="inlineStr">
        <is>
          <t>2026-09-30</t>
        </is>
      </c>
      <c r="B21" s="2" t="inlineStr">
        <is>
          <t>WMT</t>
        </is>
      </c>
      <c r="C21" s="2" t="inlineStr">
        <is>
          <t>Walmart</t>
        </is>
      </c>
      <c r="D21" s="2" t="inlineStr">
        <is>
          <t>position</t>
        </is>
      </c>
      <c r="E21" s="2" t="inlineStr">
        <is>
          <t>Short</t>
        </is>
      </c>
      <c r="F21" s="2" t="inlineStr">
        <is>
          <t>Open</t>
        </is>
      </c>
      <c r="G21" s="2" t="inlineStr">
        <is>
          <t>2026-10-01</t>
        </is>
      </c>
      <c r="H21" s="2" t="inlineStr"/>
      <c r="I21" s="3" t="n">
        <v>-24</v>
      </c>
      <c r="J21" s="4" t="n">
        <v>104.2600021362305</v>
      </c>
      <c r="K21" s="4" t="n"/>
      <c r="L21" s="4" t="n">
        <v>104.2600021362305</v>
      </c>
      <c r="M21" s="5">
        <f>IFERROR(IF(E21="Short",-1,1)*(IF(K21&lt;&gt;"",K21,L21)/J21-1),"")</f>
        <v/>
      </c>
      <c r="N21" s="6">
        <f>IFERROR(I21*(IF(K21&lt;&gt;"",K21,L21)-J21),"")</f>
        <v/>
      </c>
      <c r="O21" s="7" t="n">
        <v>0.5</v>
      </c>
      <c r="P21" s="2" t="inlineStr">
        <is>
          <t>uphold</t>
        </is>
      </c>
      <c r="Q21" s="8" t="inlineStr">
        <is>
          <t>WMT's news skews negative: Costco's Sep 24 Q4 beat fuels a rising 'Costco over Walmart' comparison (share 18%-&gt;30%), two Seeking Alpha downgrades flag peak valuation, Mizuho cut its PT to $125, and pricing scrutiny (Warren patent claim, CEO EDLP letter, DOJ beef probe) adds regulatory overhang. Delivery expansion is the lone positive.</t>
        </is>
      </c>
    </row>
  </sheetData>
  <autoFilter ref="A1:Q2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6" customWidth="1" min="7" max="7"/>
    <col width="12" customWidth="1" min="8" max="8"/>
    <col width="12" customWidth="1" min="9" max="9"/>
    <col width="12" customWidth="1" min="10" max="10"/>
    <col width="12" customWidth="1" min="11" max="11"/>
    <col width="12" customWidth="1" min="12" max="12"/>
    <col width="12" customWidth="1" min="13" max="13"/>
    <col width="34" customWidth="1" min="14" max="14"/>
  </cols>
  <sheetData>
    <row r="1" ht="30" customHeight="1">
      <c r="A1" s="1" t="inlineStr">
        <is>
          <t>Week (as-of Wed)</t>
        </is>
      </c>
      <c r="B1" s="1" t="inlineStr">
        <is>
          <t>Execution day</t>
        </is>
      </c>
      <c r="C1" s="1" t="inlineStr">
        <is>
          <t>Ticker</t>
        </is>
      </c>
      <c r="D1" s="1" t="inlineStr">
        <is>
          <t>Leg</t>
        </is>
      </c>
      <c r="E1" s="1" t="inlineStr">
        <is>
          <t>Side</t>
        </is>
      </c>
      <c r="F1" s="1" t="inlineStr">
        <is>
          <t>Quantity</t>
        </is>
      </c>
      <c r="G1" s="1" t="inlineStr">
        <is>
          <t>Order type</t>
        </is>
      </c>
      <c r="H1" s="1" t="inlineStr">
        <is>
          <t>Reference price ($)</t>
        </is>
      </c>
      <c r="I1" s="1" t="inlineStr">
        <is>
          <t>Status</t>
        </is>
      </c>
      <c r="J1" s="1" t="inlineStr">
        <is>
          <t>Fill price ($)</t>
        </is>
      </c>
      <c r="K1" s="1" t="inlineStr">
        <is>
          <t>Official close ($)</t>
        </is>
      </c>
      <c r="L1" s="1" t="inlineStr">
        <is>
          <t>Slippage vs close (bp)</t>
        </is>
      </c>
      <c r="M1" s="1" t="inlineStr">
        <is>
          <t>Notional ($)</t>
        </is>
      </c>
      <c r="N1" s="1" t="inlineStr">
        <is>
          <t>Client order id</t>
        </is>
      </c>
    </row>
    <row r="2">
      <c r="A2" s="2" t="inlineStr">
        <is>
          <t>2026-09-30</t>
        </is>
      </c>
      <c r="B2" s="2" t="inlineStr">
        <is>
          <t>2026-10-01</t>
        </is>
      </c>
      <c r="C2" s="2" t="inlineStr">
        <is>
          <t>AMD</t>
        </is>
      </c>
      <c r="D2" s="2" t="inlineStr">
        <is>
          <t>rebalance</t>
        </is>
      </c>
      <c r="E2" s="2" t="inlineStr">
        <is>
          <t>sell</t>
        </is>
      </c>
      <c r="F2" s="9" t="n">
        <v>5</v>
      </c>
      <c r="G2" s="2" t="inlineStr">
        <is>
          <t>market-on-close</t>
        </is>
      </c>
      <c r="H2" s="4" t="n">
        <v>610.96</v>
      </c>
      <c r="I2" s="2" t="inlineStr">
        <is>
          <t>expired</t>
        </is>
      </c>
      <c r="J2" s="4" t="n"/>
      <c r="K2" s="4" t="n">
        <v>615.72998046875</v>
      </c>
      <c r="L2" s="10" t="n"/>
      <c r="M2" s="9">
        <f>IFERROR(F2*IF(J2&lt;&gt;"",J2,H2),"")</f>
        <v/>
      </c>
      <c r="N2" s="2" t="inlineStr">
        <is>
          <t>fund-2026-09-30-AMD-rebalance</t>
        </is>
      </c>
    </row>
    <row r="3">
      <c r="A3" s="2" t="inlineStr">
        <is>
          <t>2026-09-30</t>
        </is>
      </c>
      <c r="B3" s="2" t="inlineStr">
        <is>
          <t>2026-10-01</t>
        </is>
      </c>
      <c r="C3" s="2" t="inlineStr">
        <is>
          <t>AVGO</t>
        </is>
      </c>
      <c r="D3" s="2" t="inlineStr">
        <is>
          <t>rebalance</t>
        </is>
      </c>
      <c r="E3" s="2" t="inlineStr">
        <is>
          <t>sell</t>
        </is>
      </c>
      <c r="F3" s="9" t="n">
        <v>7</v>
      </c>
      <c r="G3" s="2" t="inlineStr">
        <is>
          <t>market-on-close</t>
        </is>
      </c>
      <c r="H3" s="4" t="n">
        <v>347.67</v>
      </c>
      <c r="I3" s="2" t="inlineStr">
        <is>
          <t>expired</t>
        </is>
      </c>
      <c r="J3" s="4" t="n"/>
      <c r="K3" s="4" t="n">
        <v>343.6400146484375</v>
      </c>
      <c r="L3" s="10" t="n"/>
      <c r="M3" s="9">
        <f>IFERROR(F3*IF(J3&lt;&gt;"",J3,H3),"")</f>
        <v/>
      </c>
      <c r="N3" s="2" t="inlineStr">
        <is>
          <t>fund-2026-09-30-AVGO-rebalance</t>
        </is>
      </c>
    </row>
    <row r="4">
      <c r="A4" s="2" t="inlineStr">
        <is>
          <t>2026-09-30</t>
        </is>
      </c>
      <c r="B4" s="2" t="inlineStr">
        <is>
          <t>2026-10-01</t>
        </is>
      </c>
      <c r="C4" s="2" t="inlineStr">
        <is>
          <t>BRK.B</t>
        </is>
      </c>
      <c r="D4" s="2" t="inlineStr">
        <is>
          <t>rebalance</t>
        </is>
      </c>
      <c r="E4" s="2" t="inlineStr">
        <is>
          <t>sell</t>
        </is>
      </c>
      <c r="F4" s="9" t="n">
        <v>6</v>
      </c>
      <c r="G4" s="2" t="inlineStr">
        <is>
          <t>market-on-close</t>
        </is>
      </c>
      <c r="H4" s="4" t="n">
        <v>498.87</v>
      </c>
      <c r="I4" s="2" t="inlineStr">
        <is>
          <t>expired</t>
        </is>
      </c>
      <c r="J4" s="4" t="n">
        <v>500.56</v>
      </c>
      <c r="K4" s="4" t="n">
        <v>500.5</v>
      </c>
      <c r="L4" s="10" t="n">
        <v>-1.19880119880067</v>
      </c>
      <c r="M4" s="9">
        <f>IFERROR(F4*IF(J4&lt;&gt;"",J4,H4),"")</f>
        <v/>
      </c>
      <c r="N4" s="2" t="inlineStr">
        <is>
          <t>fund-2026-09-30-BRK.B-rebalance</t>
        </is>
      </c>
    </row>
    <row r="5">
      <c r="A5" s="2" t="inlineStr">
        <is>
          <t>2026-09-30</t>
        </is>
      </c>
      <c r="B5" s="2" t="inlineStr">
        <is>
          <t>2026-10-01</t>
        </is>
      </c>
      <c r="C5" s="2" t="inlineStr">
        <is>
          <t>FICO</t>
        </is>
      </c>
      <c r="D5" s="2" t="inlineStr">
        <is>
          <t>rebalance</t>
        </is>
      </c>
      <c r="E5" s="2" t="inlineStr">
        <is>
          <t>sell</t>
        </is>
      </c>
      <c r="F5" s="9" t="n">
        <v>9</v>
      </c>
      <c r="G5" s="2" t="inlineStr">
        <is>
          <t>market-on-close</t>
        </is>
      </c>
      <c r="H5" s="4" t="n">
        <v>653.135</v>
      </c>
      <c r="I5" s="2" t="inlineStr">
        <is>
          <t>expired</t>
        </is>
      </c>
      <c r="J5" s="4" t="n"/>
      <c r="K5" s="4" t="n">
        <v>661.75</v>
      </c>
      <c r="L5" s="10" t="n"/>
      <c r="M5" s="9">
        <f>IFERROR(F5*IF(J5&lt;&gt;"",J5,H5),"")</f>
        <v/>
      </c>
      <c r="N5" s="2" t="inlineStr">
        <is>
          <t>fund-2026-09-30-FICO-rebalance</t>
        </is>
      </c>
    </row>
    <row r="6">
      <c r="A6" s="2" t="inlineStr">
        <is>
          <t>2026-09-30</t>
        </is>
      </c>
      <c r="B6" s="2" t="inlineStr">
        <is>
          <t>2026-10-01</t>
        </is>
      </c>
      <c r="C6" s="2" t="inlineStr">
        <is>
          <t>GEV</t>
        </is>
      </c>
      <c r="D6" s="2" t="inlineStr">
        <is>
          <t>rebalance</t>
        </is>
      </c>
      <c r="E6" s="2" t="inlineStr">
        <is>
          <t>buy</t>
        </is>
      </c>
      <c r="F6" s="9" t="n">
        <v>3</v>
      </c>
      <c r="G6" s="2" t="inlineStr">
        <is>
          <t>market-on-close</t>
        </is>
      </c>
      <c r="H6" s="4" t="n">
        <v>971</v>
      </c>
      <c r="I6" s="2" t="inlineStr">
        <is>
          <t>expired</t>
        </is>
      </c>
      <c r="J6" s="4" t="n">
        <v>987.38</v>
      </c>
      <c r="K6" s="4" t="n">
        <v>987.4500122070312</v>
      </c>
      <c r="L6" s="10" t="n">
        <v>-0.709020265995397</v>
      </c>
      <c r="M6" s="9">
        <f>IFERROR(F6*IF(J6&lt;&gt;"",J6,H6),"")</f>
        <v/>
      </c>
      <c r="N6" s="2" t="inlineStr">
        <is>
          <t>fund-2026-09-30-GEV-rebalance</t>
        </is>
      </c>
    </row>
    <row r="7">
      <c r="A7" s="2" t="inlineStr">
        <is>
          <t>2026-09-30</t>
        </is>
      </c>
      <c r="B7" s="2" t="inlineStr">
        <is>
          <t>2026-10-01</t>
        </is>
      </c>
      <c r="C7" s="2" t="inlineStr">
        <is>
          <t>HPE</t>
        </is>
      </c>
      <c r="D7" s="2" t="inlineStr">
        <is>
          <t>rebalance</t>
        </is>
      </c>
      <c r="E7" s="2" t="inlineStr">
        <is>
          <t>buy</t>
        </is>
      </c>
      <c r="F7" s="9" t="n">
        <v>49</v>
      </c>
      <c r="G7" s="2" t="inlineStr">
        <is>
          <t>market-on-close</t>
        </is>
      </c>
      <c r="H7" s="4" t="n">
        <v>64.23999999999999</v>
      </c>
      <c r="I7" s="2" t="inlineStr">
        <is>
          <t>expired</t>
        </is>
      </c>
      <c r="J7" s="4" t="n"/>
      <c r="K7" s="4" t="n">
        <v>64.58000183105469</v>
      </c>
      <c r="L7" s="10" t="n"/>
      <c r="M7" s="9">
        <f>IFERROR(F7*IF(J7&lt;&gt;"",J7,H7),"")</f>
        <v/>
      </c>
      <c r="N7" s="2" t="inlineStr">
        <is>
          <t>fund-2026-09-30-HPE-rebalance</t>
        </is>
      </c>
    </row>
    <row r="8">
      <c r="A8" s="2" t="inlineStr">
        <is>
          <t>2026-09-30</t>
        </is>
      </c>
      <c r="B8" s="2" t="inlineStr">
        <is>
          <t>2026-10-01</t>
        </is>
      </c>
      <c r="C8" s="2" t="inlineStr">
        <is>
          <t>HRL</t>
        </is>
      </c>
      <c r="D8" s="2" t="inlineStr">
        <is>
          <t>rebalance</t>
        </is>
      </c>
      <c r="E8" s="2" t="inlineStr">
        <is>
          <t>sell</t>
        </is>
      </c>
      <c r="F8" s="9" t="n">
        <v>151</v>
      </c>
      <c r="G8" s="2" t="inlineStr">
        <is>
          <t>market-on-close</t>
        </is>
      </c>
      <c r="H8" s="4" t="n">
        <v>19.855</v>
      </c>
      <c r="I8" s="2" t="inlineStr">
        <is>
          <t>expired</t>
        </is>
      </c>
      <c r="J8" s="4" t="n"/>
      <c r="K8" s="4" t="n">
        <v>19.95999908447266</v>
      </c>
      <c r="L8" s="10" t="n"/>
      <c r="M8" s="9">
        <f>IFERROR(F8*IF(J8&lt;&gt;"",J8,H8),"")</f>
        <v/>
      </c>
      <c r="N8" s="2" t="inlineStr">
        <is>
          <t>fund-2026-09-30-HRL-rebalance</t>
        </is>
      </c>
    </row>
    <row r="9">
      <c r="A9" s="2" t="inlineStr">
        <is>
          <t>2026-09-30</t>
        </is>
      </c>
      <c r="B9" s="2" t="inlineStr">
        <is>
          <t>2026-10-01</t>
        </is>
      </c>
      <c r="C9" s="2" t="inlineStr">
        <is>
          <t>LITE</t>
        </is>
      </c>
      <c r="D9" s="2" t="inlineStr">
        <is>
          <t>rebalance</t>
        </is>
      </c>
      <c r="E9" s="2" t="inlineStr">
        <is>
          <t>buy</t>
        </is>
      </c>
      <c r="F9" s="9" t="n">
        <v>3</v>
      </c>
      <c r="G9" s="2" t="inlineStr">
        <is>
          <t>market-on-close</t>
        </is>
      </c>
      <c r="H9" s="4" t="n">
        <v>1054.455</v>
      </c>
      <c r="I9" s="2" t="inlineStr">
        <is>
          <t>expired</t>
        </is>
      </c>
      <c r="J9" s="4" t="n"/>
      <c r="K9" s="4" t="n">
        <v>1045.780029296875</v>
      </c>
      <c r="L9" s="10" t="n"/>
      <c r="M9" s="9">
        <f>IFERROR(F9*IF(J9&lt;&gt;"",J9,H9),"")</f>
        <v/>
      </c>
      <c r="N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2" t="inlineStr">
        <is>
          <t>market-on-close</t>
        </is>
      </c>
      <c r="H10" s="4" t="n">
        <v>1143.745</v>
      </c>
      <c r="I10" s="2" t="inlineStr">
        <is>
          <t>expired</t>
        </is>
      </c>
      <c r="J10" s="4" t="n"/>
      <c r="K10" s="4" t="n">
        <v>1149.849975585938</v>
      </c>
      <c r="L10" s="10" t="n"/>
      <c r="M10" s="9">
        <f>IFERROR(F10*IF(J10&lt;&gt;"",J10,H10),"")</f>
        <v/>
      </c>
      <c r="N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2" t="inlineStr">
        <is>
          <t>market-on-close</t>
        </is>
      </c>
      <c r="H11" s="4" t="n">
        <v>97.37</v>
      </c>
      <c r="I11" s="2" t="inlineStr">
        <is>
          <t>expired</t>
        </is>
      </c>
      <c r="J11" s="4" t="n">
        <v>95.87</v>
      </c>
      <c r="K11" s="4" t="n">
        <v>95.86000061035156</v>
      </c>
      <c r="L11" s="10" t="n">
        <v>-1.043124304691556</v>
      </c>
      <c r="M11" s="9">
        <f>IFERROR(F11*IF(J11&lt;&gt;"",J11,H11),"")</f>
        <v/>
      </c>
      <c r="N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2" t="inlineStr">
        <is>
          <t>market-on-close</t>
        </is>
      </c>
      <c r="H12" s="4" t="n">
        <v>1047.22</v>
      </c>
      <c r="I12" s="2" t="inlineStr">
        <is>
          <t>expired</t>
        </is>
      </c>
      <c r="J12" s="4" t="n">
        <v>1097.61</v>
      </c>
      <c r="K12" s="4" t="n">
        <v>1097.390014648438</v>
      </c>
      <c r="L12" s="10" t="n">
        <v>2.004623229898694</v>
      </c>
      <c r="M12" s="9">
        <f>IFERROR(F12*IF(J12&lt;&gt;"",J12,H12),"")</f>
        <v/>
      </c>
      <c r="N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2" t="inlineStr">
        <is>
          <t>market-on-close</t>
        </is>
      </c>
      <c r="H13" s="4" t="n">
        <v>68</v>
      </c>
      <c r="I13" s="2" t="inlineStr">
        <is>
          <t>expired</t>
        </is>
      </c>
      <c r="J13" s="4" t="n">
        <v>67.84999999999999</v>
      </c>
      <c r="K13" s="4" t="n">
        <v>67.84999847412109</v>
      </c>
      <c r="L13" s="10" t="n">
        <v>0.0002248900421442</v>
      </c>
      <c r="M13" s="9">
        <f>IFERROR(F13*IF(J13&lt;&gt;"",J13,H13),"")</f>
        <v/>
      </c>
      <c r="N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2" t="inlineStr">
        <is>
          <t>market-on-close</t>
        </is>
      </c>
      <c r="H14" s="4" t="n">
        <v>230.055</v>
      </c>
      <c r="I14" s="2" t="inlineStr">
        <is>
          <t>expired</t>
        </is>
      </c>
      <c r="J14" s="4" t="n"/>
      <c r="K14" s="4" t="n">
        <v>230.8600006103516</v>
      </c>
      <c r="L14" s="10" t="n"/>
      <c r="M14" s="9">
        <f>IFERROR(F14*IF(J14&lt;&gt;"",J14,H14),"")</f>
        <v/>
      </c>
      <c r="N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2" t="inlineStr">
        <is>
          <t>market-on-close</t>
        </is>
      </c>
      <c r="H15" s="4" t="n">
        <v>136.495</v>
      </c>
      <c r="I15" s="2" t="inlineStr">
        <is>
          <t>expired</t>
        </is>
      </c>
      <c r="J15" s="4" t="n"/>
      <c r="K15" s="4" t="n">
        <v>138.0700073242188</v>
      </c>
      <c r="L15" s="10" t="n"/>
      <c r="M15" s="9">
        <f>IFERROR(F15*IF(J15&lt;&gt;"",J15,H15),"")</f>
        <v/>
      </c>
      <c r="N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2" t="inlineStr">
        <is>
          <t>market-on-close</t>
        </is>
      </c>
      <c r="H16" s="4" t="n">
        <v>185.3</v>
      </c>
      <c r="I16" s="2" t="inlineStr">
        <is>
          <t>expired</t>
        </is>
      </c>
      <c r="J16" s="4" t="n"/>
      <c r="K16" s="4" t="n">
        <v>185.0099945068359</v>
      </c>
      <c r="L16" s="10" t="n"/>
      <c r="M16" s="9">
        <f>IFERROR(F16*IF(J16&lt;&gt;"",J16,H16),"")</f>
        <v/>
      </c>
      <c r="N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2" t="inlineStr">
        <is>
          <t>market-on-close</t>
        </is>
      </c>
      <c r="H17" s="4" t="n">
        <v>1745.26</v>
      </c>
      <c r="I17" s="2" t="inlineStr">
        <is>
          <t>expired</t>
        </is>
      </c>
      <c r="J17" s="4" t="n"/>
      <c r="K17" s="4" t="n">
        <v>1787.68994140625</v>
      </c>
      <c r="L17" s="10" t="n"/>
      <c r="M17" s="9">
        <f>IFERROR(F17*IF(J17&lt;&gt;"",J17,H17),"")</f>
        <v/>
      </c>
      <c r="N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2" t="inlineStr">
        <is>
          <t>market-on-close</t>
        </is>
      </c>
      <c r="H18" s="4" t="n">
        <v>761.04</v>
      </c>
      <c r="I18" s="2" t="inlineStr">
        <is>
          <t>expired</t>
        </is>
      </c>
      <c r="J18" s="4" t="n"/>
      <c r="K18" s="4" t="n">
        <v>763.989990234375</v>
      </c>
      <c r="L18" s="10" t="n"/>
      <c r="M18" s="9">
        <f>IFERROR(F18*IF(J18&lt;&gt;"",J18,H18),"")</f>
        <v/>
      </c>
      <c r="N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2" t="inlineStr">
        <is>
          <t>market-on-close</t>
        </is>
      </c>
      <c r="H19" s="4" t="n">
        <v>112.85</v>
      </c>
      <c r="I19" s="2" t="inlineStr">
        <is>
          <t>expired</t>
        </is>
      </c>
      <c r="J19" s="4" t="n">
        <v>112.95</v>
      </c>
      <c r="K19" s="4" t="n">
        <v>112.9899978637695</v>
      </c>
      <c r="L19" s="10" t="n">
        <v>3.539947298498713</v>
      </c>
      <c r="M19" s="9">
        <f>IFERROR(F19*IF(J19&lt;&gt;"",J19,H19),"")</f>
        <v/>
      </c>
      <c r="N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2" t="inlineStr">
        <is>
          <t>market-on-close</t>
        </is>
      </c>
      <c r="H20" s="4" t="n">
        <v>30.935</v>
      </c>
      <c r="I20" s="2" t="inlineStr">
        <is>
          <t>expired</t>
        </is>
      </c>
      <c r="J20" s="4" t="n"/>
      <c r="K20" s="4" t="n">
        <v>30.95000076293945</v>
      </c>
      <c r="L20" s="10" t="n"/>
      <c r="M20" s="9">
        <f>IFERROR(F20*IF(J20&lt;&gt;"",J20,H20),"")</f>
        <v/>
      </c>
      <c r="N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2" t="inlineStr">
        <is>
          <t>market-on-close</t>
        </is>
      </c>
      <c r="H21" s="4" t="n">
        <v>104.79</v>
      </c>
      <c r="I21" s="2" t="inlineStr">
        <is>
          <t>expired</t>
        </is>
      </c>
      <c r="J21" s="4" t="n"/>
      <c r="K21" s="4" t="n">
        <v>104.2600021362305</v>
      </c>
      <c r="L21" s="10" t="n"/>
      <c r="M21" s="9">
        <f>IFERROR(F21*IF(J21&lt;&gt;"",J21,H21),"")</f>
        <v/>
      </c>
      <c r="N21" s="2" t="inlineStr">
        <is>
          <t>fund-2026-09-30-WMT-rebalance</t>
        </is>
      </c>
    </row>
  </sheetData>
  <autoFilter ref="A1:N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12" customWidth="1" min="4" max="4"/>
  </cols>
  <sheetData>
    <row r="1" ht="30" customHeight="1">
      <c r="A1" s="1" t="inlineStr">
        <is>
          <t>Day</t>
        </is>
      </c>
      <c r="B1" s="1" t="inlineStr">
        <is>
          <t>Paper account value ($)</t>
        </is>
      </c>
      <c r="C1" s="1" t="inlineStr">
        <is>
          <t>Daily return (%)</t>
        </is>
      </c>
      <c r="D1" s="1" t="inlineStr">
        <is>
          <t>Since first trade (%)</t>
        </is>
      </c>
    </row>
    <row r="2">
      <c r="A2" s="2" t="inlineStr">
        <is>
          <t>2026-10-01</t>
        </is>
      </c>
      <c r="B2" s="11" t="n">
        <v>100000</v>
      </c>
      <c r="C2" s="5" t="inlineStr"/>
      <c r="D2" s="5">
        <f>B2/$B$2-1</f>
        <v/>
      </c>
    </row>
    <row r="3">
      <c r="A3" s="2" t="inlineStr">
        <is>
          <t>2026-10-02</t>
        </is>
      </c>
      <c r="B3" s="11" t="n">
        <v>99999.89</v>
      </c>
      <c r="C3" s="5">
        <f>B3/B2-1</f>
        <v/>
      </c>
      <c r="D3" s="5">
        <f>B3/$B$2-1</f>
        <v/>
      </c>
    </row>
  </sheetData>
  <autoFilter ref="A1:D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2" t="n"/>
      <c r="F2" s="13" t="n">
        <v>-0.11</v>
      </c>
    </row>
    <row r="3">
      <c r="A3" s="2" t="inlineStr">
        <is>
          <t>2026-10-01</t>
        </is>
      </c>
      <c r="B3" s="2" t="inlineStr">
        <is>
          <t>FEE</t>
        </is>
      </c>
      <c r="C3" s="2" t="n"/>
      <c r="D3" s="9" t="n"/>
      <c r="E3" s="12" t="n"/>
      <c r="F3" s="13" t="n">
        <v>-0.01</v>
      </c>
    </row>
  </sheetData>
  <autoFilter ref="A1:F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2026-10-03T01:11:05Z</dcterms:created>
  <dcterms:modified xmlns:dcterms="http://purl.org/dc/terms/" xmlns:xsi="http://www.w3.org/2001/XMLSchema-instance" xsi:type="dcterms:W3CDTF">2026-10-03T01:11:05Z</dcterms:modified>
</cp:coreProperties>
</file>