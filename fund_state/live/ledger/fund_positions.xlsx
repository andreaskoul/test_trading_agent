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positions'!$A$1:$J$12</definedName>
    <definedName name="_xlnm._FilterDatabase" localSheetId="2" hidden="1">'Realized trades'!$A$1:$H$43</definedName>
    <definedName name="_xlnm._FilterDatabase" localSheetId="3" hidden="1">'Positions'!$A$1:$Q$72</definedName>
    <definedName name="_xlnm._FilterDatabase" localSheetId="4" hidden="1">'Orders'!$A$1:$O$106</definedName>
    <definedName name="_xlnm._FilterDatabase" localSheetId="5" hidden="1">'Account'!$A$1:$F$15</definedName>
    <definedName name="_xlnm._FilterDatabase" localSheetId="6" hidden="1">'Cash activity'!$A$1:$F$19</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2026-10-21 16:16 ET)</t>
        </is>
      </c>
      <c r="B2" s="3" t="n">
        <v>98554.0092</v>
      </c>
    </row>
    <row r="3">
      <c r="A3" s="2" t="inlineStr">
        <is>
          <t>Net deposits</t>
        </is>
      </c>
      <c r="B3" s="3" t="n">
        <v>100000</v>
      </c>
    </row>
    <row r="4">
      <c r="A4" s="2" t="inlineStr">
        <is>
          <t>Account P&amp;L</t>
        </is>
      </c>
      <c r="B4" s="3">
        <f>B2-B3</f>
        <v/>
      </c>
    </row>
    <row r="5">
      <c r="A5" s="2" t="inlineStr">
        <is>
          <t>Realized P&amp;L (closed shares, FIFO)</t>
        </is>
      </c>
      <c r="B5" s="3" t="n">
        <v>484.6400000000036</v>
      </c>
    </row>
    <row r="6">
      <c r="A6" s="2" t="inlineStr">
        <is>
          <t>Unrealized P&amp;L (open shares at Alpaca marks)</t>
        </is>
      </c>
      <c r="B6" s="3" t="n">
        <v>-1928.190799999998</v>
      </c>
    </row>
    <row r="7">
      <c r="A7" s="2" t="inlineStr">
        <is>
          <t>Dividends, fees &amp; interest</t>
        </is>
      </c>
      <c r="B7" s="3" t="n">
        <v>-2.44</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551.98</v>
      </c>
      <c r="H2" s="6">
        <f>D2*G2</f>
        <v/>
      </c>
      <c r="I2" s="3">
        <f>D2*(G2-F2)</f>
        <v/>
      </c>
      <c r="J2" s="7">
        <f>IF(D2&gt;0,1,-1)*(G2/F2-1)</f>
        <v/>
      </c>
    </row>
    <row r="3">
      <c r="A3" s="2" t="inlineStr">
        <is>
          <t>BAC</t>
        </is>
      </c>
      <c r="B3" s="2" t="inlineStr">
        <is>
          <t>BAC</t>
        </is>
      </c>
      <c r="C3" s="2" t="inlineStr">
        <is>
          <t>Short</t>
        </is>
      </c>
      <c r="D3" s="4" t="n">
        <v>-68</v>
      </c>
      <c r="E3" s="2" t="inlineStr">
        <is>
          <t>2026-10-15</t>
        </is>
      </c>
      <c r="F3" s="5" t="n">
        <v>51.19367647058824</v>
      </c>
      <c r="G3" s="5" t="n">
        <v>50.81</v>
      </c>
      <c r="H3" s="6">
        <f>D3*G3</f>
        <v/>
      </c>
      <c r="I3" s="3">
        <f>D3*(G3-F3)</f>
        <v/>
      </c>
      <c r="J3" s="7">
        <f>IF(D3&gt;0,1,-1)*(G3/F3-1)</f>
        <v/>
      </c>
    </row>
    <row r="4">
      <c r="A4" s="2" t="inlineStr">
        <is>
          <t>CRM</t>
        </is>
      </c>
      <c r="B4" s="2" t="inlineStr">
        <is>
          <t>CRM</t>
        </is>
      </c>
      <c r="C4" s="2" t="inlineStr">
        <is>
          <t>Long</t>
        </is>
      </c>
      <c r="D4" s="4" t="n">
        <v>18</v>
      </c>
      <c r="E4" s="2" t="inlineStr">
        <is>
          <t>2026-10-15</t>
        </is>
      </c>
      <c r="F4" s="5" t="n">
        <v>245.0494444444445</v>
      </c>
      <c r="G4" s="5" t="n">
        <v>243.8794</v>
      </c>
      <c r="H4" s="6">
        <f>D4*G4</f>
        <v/>
      </c>
      <c r="I4" s="3">
        <f>D4*(G4-F4)</f>
        <v/>
      </c>
      <c r="J4" s="7">
        <f>IF(D4&gt;0,1,-1)*(G4/F4-1)</f>
        <v/>
      </c>
    </row>
    <row r="5">
      <c r="A5" s="2" t="inlineStr">
        <is>
          <t>DAL</t>
        </is>
      </c>
      <c r="B5" s="2" t="inlineStr">
        <is>
          <t>DAL</t>
        </is>
      </c>
      <c r="C5" s="2" t="inlineStr">
        <is>
          <t>Short</t>
        </is>
      </c>
      <c r="D5" s="4" t="n">
        <v>-47</v>
      </c>
      <c r="E5" s="2" t="inlineStr">
        <is>
          <t>2026-10-15</t>
        </is>
      </c>
      <c r="F5" s="5" t="n">
        <v>75.45893617021277</v>
      </c>
      <c r="G5" s="5" t="n">
        <v>77.67</v>
      </c>
      <c r="H5" s="6">
        <f>D5*G5</f>
        <v/>
      </c>
      <c r="I5" s="3">
        <f>D5*(G5-F5)</f>
        <v/>
      </c>
      <c r="J5" s="7">
        <f>IF(D5&gt;0,1,-1)*(G5/F5-1)</f>
        <v/>
      </c>
    </row>
    <row r="6">
      <c r="A6" s="2" t="inlineStr">
        <is>
          <t>HPE</t>
        </is>
      </c>
      <c r="B6" s="2" t="inlineStr">
        <is>
          <t>HPE</t>
        </is>
      </c>
      <c r="C6" s="2" t="inlineStr">
        <is>
          <t>Long</t>
        </is>
      </c>
      <c r="D6" s="4" t="n">
        <v>65</v>
      </c>
      <c r="E6" s="2" t="inlineStr">
        <is>
          <t>2026-10-08</t>
        </is>
      </c>
      <c r="F6" s="5" t="n">
        <v>65.19323076923077</v>
      </c>
      <c r="G6" s="5" t="n">
        <v>58.2671</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335</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23.45</v>
      </c>
      <c r="H8" s="6">
        <f>D8*G8</f>
        <v/>
      </c>
      <c r="I8" s="3">
        <f>D8*(G8-F8)</f>
        <v/>
      </c>
      <c r="J8" s="7">
        <f>IF(D8&gt;0,1,-1)*(G8/F8-1)</f>
        <v/>
      </c>
    </row>
    <row r="9">
      <c r="A9" s="2" t="inlineStr">
        <is>
          <t>MRVL</t>
        </is>
      </c>
      <c r="B9" s="2" t="inlineStr">
        <is>
          <t>MRVL</t>
        </is>
      </c>
      <c r="C9" s="2" t="inlineStr">
        <is>
          <t>Long</t>
        </is>
      </c>
      <c r="D9" s="4" t="n">
        <v>35</v>
      </c>
      <c r="E9" s="2" t="inlineStr">
        <is>
          <t>2026-10-08</t>
        </is>
      </c>
      <c r="F9" s="5" t="n">
        <v>262.5911428571428</v>
      </c>
      <c r="G9" s="5" t="n">
        <v>243.3839</v>
      </c>
      <c r="H9" s="6">
        <f>D9*G9</f>
        <v/>
      </c>
      <c r="I9" s="3">
        <f>D9*(G9-F9)</f>
        <v/>
      </c>
      <c r="J9" s="7">
        <f>IF(D9&gt;0,1,-1)*(G9/F9-1)</f>
        <v/>
      </c>
    </row>
    <row r="10">
      <c r="A10" s="2" t="inlineStr">
        <is>
          <t>NKE</t>
        </is>
      </c>
      <c r="B10" s="2" t="inlineStr">
        <is>
          <t>NKE</t>
        </is>
      </c>
      <c r="C10" s="2" t="inlineStr">
        <is>
          <t>Short</t>
        </is>
      </c>
      <c r="D10" s="4" t="n">
        <v>-256</v>
      </c>
      <c r="E10" s="2" t="inlineStr">
        <is>
          <t>2026-10-08</t>
        </is>
      </c>
      <c r="F10" s="5" t="n">
        <v>35.49667968750001</v>
      </c>
      <c r="G10" s="5" t="n">
        <v>37.4</v>
      </c>
      <c r="H10" s="6">
        <f>D10*G10</f>
        <v/>
      </c>
      <c r="I10" s="3">
        <f>D10*(G10-F10)</f>
        <v/>
      </c>
      <c r="J10" s="7">
        <f>IF(D10&gt;0,1,-1)*(G10/F10-1)</f>
        <v/>
      </c>
    </row>
    <row r="11">
      <c r="A11" s="2" t="inlineStr">
        <is>
          <t>SPY</t>
        </is>
      </c>
      <c r="B11" s="2" t="inlineStr">
        <is>
          <t>SPDR S&amp;P 500 ETF</t>
        </is>
      </c>
      <c r="C11" s="2" t="inlineStr">
        <is>
          <t>Short</t>
        </is>
      </c>
      <c r="D11" s="4" t="n">
        <v>-12</v>
      </c>
      <c r="E11" s="2" t="inlineStr">
        <is>
          <t>2026-10-21</t>
        </is>
      </c>
      <c r="F11" s="5" t="n">
        <v>773.2016666666667</v>
      </c>
      <c r="G11" s="5" t="n">
        <v>773.404</v>
      </c>
      <c r="H11" s="6">
        <f>D11*G11</f>
        <v/>
      </c>
      <c r="I11" s="3">
        <f>D11*(G11-F11)</f>
        <v/>
      </c>
      <c r="J11" s="7">
        <f>IF(D11&gt;0,1,-1)*(G11/F11-1)</f>
        <v/>
      </c>
    </row>
    <row r="12">
      <c r="A12" s="2" t="inlineStr">
        <is>
          <t>STT</t>
        </is>
      </c>
      <c r="B12" s="2" t="inlineStr">
        <is>
          <t>STT</t>
        </is>
      </c>
      <c r="C12" s="2" t="inlineStr">
        <is>
          <t>Short</t>
        </is>
      </c>
      <c r="D12" s="4" t="n">
        <v>-14</v>
      </c>
      <c r="E12" s="2" t="inlineStr">
        <is>
          <t>2026-10-15</t>
        </is>
      </c>
      <c r="F12" s="5" t="n">
        <v>167.6371428571429</v>
      </c>
      <c r="G12" s="5" t="n">
        <v>168.95</v>
      </c>
      <c r="H12" s="6">
        <f>D12*G12</f>
        <v/>
      </c>
      <c r="I12" s="3">
        <f>D12*(G12-F12)</f>
        <v/>
      </c>
      <c r="J12" s="7">
        <f>IF(D12&gt;0,1,-1)*(G12/F12-1)</f>
        <v/>
      </c>
    </row>
  </sheetData>
  <autoFilter ref="A1:J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sheetData>
  <autoFilter ref="A1:H4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773.22</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926.21</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908.08</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908.08</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65.05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540.62</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96.535</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132.03</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773.22</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773.22</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773.22</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773.22</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553.78</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553.78</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337.87</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337.87</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337.87</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192.27</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270.63</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334.715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58.17</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851.22</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1270.89</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244.66</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221.9</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221.9</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540.62</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96.535</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246.245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718.9400000000001</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37.525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134.69</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134.69</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1379.57</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1379.57</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697.38</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378.465</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337.87</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192.27</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540.62</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270.63</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334.715</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851.22</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1270.89</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96.535</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246.245</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718.9400000000001</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134.69</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1379.57</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773.22</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697.38</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378.465</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35.55</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320.495</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532.8</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65.05</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221.9</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76.93000000000001</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129.09</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392.72</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2026-10-07</t>
        </is>
      </c>
      <c r="B62" s="2" t="inlineStr">
        <is>
          <t>AMD</t>
        </is>
      </c>
      <c r="C62" s="2" t="inlineStr">
        <is>
          <t>AMD</t>
        </is>
      </c>
      <c r="D62" s="2" t="inlineStr">
        <is>
          <t>position (lifecycle)</t>
        </is>
      </c>
      <c r="E62" s="2" t="inlineStr">
        <is>
          <t>Long</t>
        </is>
      </c>
      <c r="F62" s="2" t="inlineStr">
        <is>
          <t>Open</t>
        </is>
      </c>
      <c r="G62" s="2" t="inlineStr">
        <is>
          <t>2026-10-15</t>
        </is>
      </c>
      <c r="H62" s="2" t="inlineStr"/>
      <c r="I62" s="4" t="n">
        <v>6</v>
      </c>
      <c r="J62" s="5" t="n">
        <v>562.43666015625</v>
      </c>
      <c r="K62" s="5" t="n"/>
      <c r="L62" s="5" t="n">
        <v>553.78</v>
      </c>
      <c r="M62" s="7">
        <f>IFERROR(IF(E62="Short",-1,1)*(IF(K62&lt;&gt;"",K62,L62)/J62-1),"")</f>
        <v/>
      </c>
      <c r="N62" s="6">
        <f>IFERROR(I62*(IF(K62&lt;&gt;"",K62,L62)-J62),"")</f>
        <v/>
      </c>
      <c r="O62" s="8" t="n">
        <v>0.55</v>
      </c>
      <c r="P62" s="2" t="n"/>
      <c r="Q62"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63">
      <c r="A63" s="2" t="inlineStr">
        <is>
          <t>2026-10-07</t>
        </is>
      </c>
      <c r="B63" s="2" t="inlineStr">
        <is>
          <t>HPE</t>
        </is>
      </c>
      <c r="C63" s="2" t="inlineStr">
        <is>
          <t>HPE</t>
        </is>
      </c>
      <c r="D63" s="2" t="inlineStr">
        <is>
          <t>position (lifecycle)</t>
        </is>
      </c>
      <c r="E63" s="2" t="inlineStr">
        <is>
          <t>Long</t>
        </is>
      </c>
      <c r="F63" s="2" t="inlineStr">
        <is>
          <t>Open</t>
        </is>
      </c>
      <c r="G63" s="2" t="inlineStr">
        <is>
          <t>2026-10-15</t>
        </is>
      </c>
      <c r="H63" s="2" t="inlineStr"/>
      <c r="I63" s="4" t="n">
        <v>65</v>
      </c>
      <c r="J63" s="5" t="n">
        <v>58.38646216080229</v>
      </c>
      <c r="K63" s="5" t="n"/>
      <c r="L63" s="5" t="n">
        <v>58.17</v>
      </c>
      <c r="M63" s="7">
        <f>IFERROR(IF(E63="Short",-1,1)*(IF(K63&lt;&gt;"",K63,L63)/J63-1),"")</f>
        <v/>
      </c>
      <c r="N63" s="6">
        <f>IFERROR(I63*(IF(K63&lt;&gt;"",K63,L63)-J63),"")</f>
        <v/>
      </c>
      <c r="O63" s="8" t="n">
        <v>0.6</v>
      </c>
      <c r="P63" s="2" t="n"/>
      <c r="Q63"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4">
      <c r="A64" s="2" t="inlineStr">
        <is>
          <t>2026-10-07</t>
        </is>
      </c>
      <c r="B64" s="2" t="inlineStr">
        <is>
          <t>MRVL</t>
        </is>
      </c>
      <c r="C64" s="2" t="inlineStr">
        <is>
          <t>MRVL</t>
        </is>
      </c>
      <c r="D64" s="2" t="inlineStr">
        <is>
          <t>position (lifecycle)</t>
        </is>
      </c>
      <c r="E64" s="2" t="inlineStr">
        <is>
          <t>Long</t>
        </is>
      </c>
      <c r="F64" s="2" t="inlineStr">
        <is>
          <t>Open</t>
        </is>
      </c>
      <c r="G64" s="2" t="inlineStr">
        <is>
          <t>2026-10-15</t>
        </is>
      </c>
      <c r="H64" s="2" t="inlineStr"/>
      <c r="I64" s="4" t="n">
        <v>35</v>
      </c>
      <c r="J64" s="5" t="n">
        <v>242.5640032958985</v>
      </c>
      <c r="K64" s="5" t="n"/>
      <c r="L64" s="5" t="n">
        <v>244.66</v>
      </c>
      <c r="M64" s="7">
        <f>IFERROR(IF(E64="Short",-1,1)*(IF(K64&lt;&gt;"",K64,L64)/J64-1),"")</f>
        <v/>
      </c>
      <c r="N64" s="6">
        <f>IFERROR(I64*(IF(K64&lt;&gt;"",K64,L64)-J64),"")</f>
        <v/>
      </c>
      <c r="O64" s="8" t="n">
        <v>0.68</v>
      </c>
      <c r="P64" s="2" t="n"/>
      <c r="Q6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65">
      <c r="A65" s="2" t="inlineStr">
        <is>
          <t>2026-10-07</t>
        </is>
      </c>
      <c r="B65" s="2" t="inlineStr">
        <is>
          <t>NKE</t>
        </is>
      </c>
      <c r="C65" s="2" t="inlineStr">
        <is>
          <t>NKE</t>
        </is>
      </c>
      <c r="D65" s="2" t="inlineStr">
        <is>
          <t>position (lifecycle)</t>
        </is>
      </c>
      <c r="E65" s="2" t="inlineStr">
        <is>
          <t>Short</t>
        </is>
      </c>
      <c r="F65" s="2" t="inlineStr">
        <is>
          <t>Open</t>
        </is>
      </c>
      <c r="G65" s="2" t="inlineStr">
        <is>
          <t>2026-10-15</t>
        </is>
      </c>
      <c r="H65" s="2" t="inlineStr"/>
      <c r="I65" s="4" t="n">
        <v>-256</v>
      </c>
      <c r="J65" s="5" t="n">
        <v>37.23433549165726</v>
      </c>
      <c r="K65" s="5" t="n"/>
      <c r="L65" s="5" t="n">
        <v>37.525</v>
      </c>
      <c r="M65" s="7">
        <f>IFERROR(IF(E65="Short",-1,1)*(IF(K65&lt;&gt;"",K65,L65)/J65-1),"")</f>
        <v/>
      </c>
      <c r="N65" s="6">
        <f>IFERROR(I65*(IF(K65&lt;&gt;"",K65,L65)-J65),"")</f>
        <v/>
      </c>
      <c r="O65" s="8" t="n">
        <v>0.65</v>
      </c>
      <c r="P65" s="2" t="n"/>
      <c r="Q65"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66">
      <c r="A66" s="2" t="inlineStr">
        <is>
          <t>2026-10-14</t>
        </is>
      </c>
      <c r="B66" s="2" t="inlineStr">
        <is>
          <t>SPY</t>
        </is>
      </c>
      <c r="C66" s="2" t="inlineStr">
        <is>
          <t>SPDR S&amp;P 500 ETF</t>
        </is>
      </c>
      <c r="D66" s="2" t="inlineStr">
        <is>
          <t>beta hedge</t>
        </is>
      </c>
      <c r="E66" s="2" t="inlineStr">
        <is>
          <t>Short</t>
        </is>
      </c>
      <c r="F66" s="2" t="inlineStr">
        <is>
          <t>Open</t>
        </is>
      </c>
      <c r="G66" s="2" t="inlineStr">
        <is>
          <t>2026-10-21</t>
        </is>
      </c>
      <c r="H66" s="2" t="inlineStr"/>
      <c r="I66" s="4" t="n">
        <v>-12</v>
      </c>
      <c r="J66" s="5" t="n">
        <v>773.201666</v>
      </c>
      <c r="K66" s="5" t="n"/>
      <c r="L66" s="5" t="n">
        <v>773.22</v>
      </c>
      <c r="M66" s="7">
        <f>IFERROR(IF(E66="Short",-1,1)*(IF(K66&lt;&gt;"",K66,L66)/J66-1),"")</f>
        <v/>
      </c>
      <c r="N66" s="6">
        <f>IFERROR(I66*(IF(K66&lt;&gt;"",K66,L66)-J66),"")</f>
        <v/>
      </c>
      <c r="O66" s="8" t="n"/>
      <c r="P66" s="2" t="n"/>
      <c r="Q66" s="9" t="inlineStr">
        <is>
          <t>SPY hedge to zero beta</t>
        </is>
      </c>
    </row>
    <row r="67">
      <c r="A67" s="2" t="inlineStr">
        <is>
          <t>2026-10-14</t>
        </is>
      </c>
      <c r="B67" s="2" t="inlineStr">
        <is>
          <t>BAC</t>
        </is>
      </c>
      <c r="C67" s="2" t="inlineStr">
        <is>
          <t>BAC</t>
        </is>
      </c>
      <c r="D67" s="2" t="inlineStr">
        <is>
          <t>position (lifecycle)</t>
        </is>
      </c>
      <c r="E67" s="2" t="inlineStr">
        <is>
          <t>Short</t>
        </is>
      </c>
      <c r="F67" s="2" t="inlineStr">
        <is>
          <t>Open</t>
        </is>
      </c>
      <c r="G67" s="2" t="inlineStr">
        <is>
          <t>2026-10-15</t>
        </is>
      </c>
      <c r="H67" s="2" t="inlineStr"/>
      <c r="I67" s="4" t="n">
        <v>-68</v>
      </c>
      <c r="J67" s="5" t="n">
        <v>51.19367658823529</v>
      </c>
      <c r="K67" s="5" t="n"/>
      <c r="L67" s="5" t="n">
        <v>50.81</v>
      </c>
      <c r="M67" s="7">
        <f>IFERROR(IF(E67="Short",-1,1)*(IF(K67&lt;&gt;"",K67,L67)/J67-1),"")</f>
        <v/>
      </c>
      <c r="N67" s="6">
        <f>IFERROR(I67*(IF(K67&lt;&gt;"",K67,L67)-J67),"")</f>
        <v/>
      </c>
      <c r="O67" s="8" t="n">
        <v>0.58</v>
      </c>
      <c r="P67" s="2" t="n"/>
      <c r="Q67"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8">
      <c r="A68" s="2" t="inlineStr">
        <is>
          <t>2026-10-14</t>
        </is>
      </c>
      <c r="B68" s="2" t="inlineStr">
        <is>
          <t>CRM</t>
        </is>
      </c>
      <c r="C68" s="2" t="inlineStr">
        <is>
          <t>CRM</t>
        </is>
      </c>
      <c r="D68" s="2" t="inlineStr">
        <is>
          <t>position (lifecycle)</t>
        </is>
      </c>
      <c r="E68" s="2" t="inlineStr">
        <is>
          <t>Long</t>
        </is>
      </c>
      <c r="F68" s="2" t="inlineStr">
        <is>
          <t>Open</t>
        </is>
      </c>
      <c r="G68" s="2" t="inlineStr">
        <is>
          <t>2026-10-15</t>
        </is>
      </c>
      <c r="H68" s="2" t="inlineStr"/>
      <c r="I68" s="4" t="n">
        <v>18</v>
      </c>
      <c r="J68" s="5" t="n">
        <v>245.0494446666667</v>
      </c>
      <c r="K68" s="5" t="n"/>
      <c r="L68" s="5" t="n">
        <v>241.75</v>
      </c>
      <c r="M68" s="7">
        <f>IFERROR(IF(E68="Short",-1,1)*(IF(K68&lt;&gt;"",K68,L68)/J68-1),"")</f>
        <v/>
      </c>
      <c r="N68" s="6">
        <f>IFERROR(I68*(IF(K68&lt;&gt;"",K68,L68)-J68),"")</f>
        <v/>
      </c>
      <c r="O68" s="8" t="n">
        <v>0.6</v>
      </c>
      <c r="P68" s="2" t="n"/>
      <c r="Q68"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9">
      <c r="A69" s="2" t="inlineStr">
        <is>
          <t>2026-10-14</t>
        </is>
      </c>
      <c r="B69" s="2" t="inlineStr">
        <is>
          <t>DAL</t>
        </is>
      </c>
      <c r="C69" s="2" t="inlineStr">
        <is>
          <t>DAL</t>
        </is>
      </c>
      <c r="D69" s="2" t="inlineStr">
        <is>
          <t>position (lifecycle)</t>
        </is>
      </c>
      <c r="E69" s="2" t="inlineStr">
        <is>
          <t>Short</t>
        </is>
      </c>
      <c r="F69" s="2" t="inlineStr">
        <is>
          <t>Open</t>
        </is>
      </c>
      <c r="G69" s="2" t="inlineStr">
        <is>
          <t>2026-10-15</t>
        </is>
      </c>
      <c r="H69" s="2" t="inlineStr"/>
      <c r="I69" s="4" t="n">
        <v>-47</v>
      </c>
      <c r="J69" s="5" t="n">
        <v>76.79842105263158</v>
      </c>
      <c r="K69" s="5" t="n"/>
      <c r="L69" s="5" t="n">
        <v>77.68000000000001</v>
      </c>
      <c r="M69" s="7">
        <f>IFERROR(IF(E69="Short",-1,1)*(IF(K69&lt;&gt;"",K69,L69)/J69-1),"")</f>
        <v/>
      </c>
      <c r="N69" s="6">
        <f>IFERROR(I69*(IF(K69&lt;&gt;"",K69,L69)-J69),"")</f>
        <v/>
      </c>
      <c r="O69" s="8" t="n">
        <v>0.6</v>
      </c>
      <c r="P69" s="2" t="n"/>
      <c r="Q69"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70">
      <c r="A70" s="2" t="inlineStr">
        <is>
          <t>2026-10-14</t>
        </is>
      </c>
      <c r="B70" s="2" t="inlineStr">
        <is>
          <t>JPM</t>
        </is>
      </c>
      <c r="C70" s="2" t="inlineStr">
        <is>
          <t>JPM</t>
        </is>
      </c>
      <c r="D70" s="2" t="inlineStr">
        <is>
          <t>position (lifecycle)</t>
        </is>
      </c>
      <c r="E70" s="2" t="inlineStr">
        <is>
          <t>Short</t>
        </is>
      </c>
      <c r="F70" s="2" t="inlineStr">
        <is>
          <t>Open</t>
        </is>
      </c>
      <c r="G70" s="2" t="inlineStr">
        <is>
          <t>2026-10-15</t>
        </is>
      </c>
      <c r="H70" s="2" t="inlineStr"/>
      <c r="I70" s="4" t="n">
        <v>-7</v>
      </c>
      <c r="J70" s="5" t="n">
        <v>335.42</v>
      </c>
      <c r="K70" s="5" t="n"/>
      <c r="L70" s="5" t="n">
        <v>335.11</v>
      </c>
      <c r="M70" s="7">
        <f>IFERROR(IF(E70="Short",-1,1)*(IF(K70&lt;&gt;"",K70,L70)/J70-1),"")</f>
        <v/>
      </c>
      <c r="N70" s="6">
        <f>IFERROR(I70*(IF(K70&lt;&gt;"",K70,L70)-J70),"")</f>
        <v/>
      </c>
      <c r="O70" s="8" t="n">
        <v>0.6</v>
      </c>
      <c r="P70" s="2" t="n"/>
      <c r="Q70"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71">
      <c r="A71" s="2" t="inlineStr">
        <is>
          <t>2026-10-14</t>
        </is>
      </c>
      <c r="B71" s="2" t="inlineStr">
        <is>
          <t>KHC</t>
        </is>
      </c>
      <c r="C71" s="2" t="inlineStr">
        <is>
          <t>KHC</t>
        </is>
      </c>
      <c r="D71" s="2" t="inlineStr">
        <is>
          <t>position (lifecycle)</t>
        </is>
      </c>
      <c r="E71" s="2" t="inlineStr">
        <is>
          <t>Short</t>
        </is>
      </c>
      <c r="F71" s="2" t="inlineStr">
        <is>
          <t>Open</t>
        </is>
      </c>
      <c r="G71" s="2" t="inlineStr">
        <is>
          <t>2026-10-15</t>
        </is>
      </c>
      <c r="H71" s="2" t="inlineStr"/>
      <c r="I71" s="4" t="n">
        <v>-101</v>
      </c>
      <c r="J71" s="5" t="n">
        <v>23.24</v>
      </c>
      <c r="K71" s="5" t="n"/>
      <c r="L71" s="5" t="n">
        <v>23.505</v>
      </c>
      <c r="M71" s="7">
        <f>IFERROR(IF(E71="Short",-1,1)*(IF(K71&lt;&gt;"",K71,L71)/J71-1),"")</f>
        <v/>
      </c>
      <c r="N71" s="6">
        <f>IFERROR(I71*(IF(K71&lt;&gt;"",K71,L71)-J71),"")</f>
        <v/>
      </c>
      <c r="O71" s="8" t="n">
        <v>0.6</v>
      </c>
      <c r="P71" s="2" t="n"/>
      <c r="Q71"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72">
      <c r="A72" s="2" t="inlineStr">
        <is>
          <t>2026-10-14</t>
        </is>
      </c>
      <c r="B72" s="2" t="inlineStr">
        <is>
          <t>STT</t>
        </is>
      </c>
      <c r="C72" s="2" t="inlineStr">
        <is>
          <t>STT</t>
        </is>
      </c>
      <c r="D72" s="2" t="inlineStr">
        <is>
          <t>position (lifecycle)</t>
        </is>
      </c>
      <c r="E72" s="2" t="inlineStr">
        <is>
          <t>Short</t>
        </is>
      </c>
      <c r="F72" s="2" t="inlineStr">
        <is>
          <t>Open</t>
        </is>
      </c>
      <c r="G72" s="2" t="inlineStr">
        <is>
          <t>2026-10-15</t>
        </is>
      </c>
      <c r="H72" s="2" t="inlineStr"/>
      <c r="I72" s="4" t="n">
        <v>-14</v>
      </c>
      <c r="J72" s="5" t="n">
        <v>167.637143</v>
      </c>
      <c r="K72" s="5" t="n"/>
      <c r="L72" s="5" t="n">
        <v>168.7</v>
      </c>
      <c r="M72" s="7">
        <f>IFERROR(IF(E72="Short",-1,1)*(IF(K72&lt;&gt;"",K72,L72)/J72-1),"")</f>
        <v/>
      </c>
      <c r="N72" s="6">
        <f>IFERROR(I72*(IF(K72&lt;&gt;"",K72,L72)-J72),"")</f>
        <v/>
      </c>
      <c r="O72" s="8" t="n">
        <v>0.6</v>
      </c>
      <c r="P72" s="2" t="n"/>
      <c r="Q72"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sheetData>
  <autoFilter ref="A1:Q7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0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sheetData>
  <autoFilter ref="A1:O10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sheetData>
  <autoFilter ref="A1:F1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sheetData>
  <autoFilter ref="A1:F19"/>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2026-10-21T20:15:59Z</dcterms:created>
  <dcterms:modified xmlns:dcterms="http://purl.org/dc/terms/" xmlns:xsi="http://www.w3.org/2001/XMLSchema-instance" xsi:type="dcterms:W3CDTF">2026-10-21T20:16:09Z</dcterms:modified>
</cp:coreProperties>
</file>