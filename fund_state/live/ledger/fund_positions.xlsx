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trades'!$A$1:$H$15</definedName>
    <definedName name="_xlnm._FilterDatabase" localSheetId="3" hidden="1">'Positions'!$A$1:$Q$38</definedName>
    <definedName name="_xlnm._FilterDatabase" localSheetId="4" hidden="1">'Orders'!$A$1:$O$55</definedName>
    <definedName name="_xlnm._FilterDatabase" localSheetId="5" hidden="1">'Account'!$A$1:$F$11</definedName>
    <definedName name="_xlnm._FilterDatabase" localSheetId="6" hidden="1">'Cash activity'!$A$1:$F$12</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2026-10-15 11:45 ET)</t>
        </is>
      </c>
      <c r="B2" s="3" t="n">
        <v>98064.6299</v>
      </c>
    </row>
    <row r="3">
      <c r="A3" s="2" t="inlineStr">
        <is>
          <t>Net deposits</t>
        </is>
      </c>
      <c r="B3" s="3" t="n">
        <v>100000</v>
      </c>
    </row>
    <row r="4">
      <c r="A4" s="2" t="inlineStr">
        <is>
          <t>Account P&amp;L</t>
        </is>
      </c>
      <c r="B4" s="3">
        <f>B2-B3</f>
        <v/>
      </c>
    </row>
    <row r="5">
      <c r="A5" s="2" t="inlineStr">
        <is>
          <t>Realized P&amp;L (closed shares, FIFO)</t>
        </is>
      </c>
      <c r="B5" s="3" t="n">
        <v>-86.23999999999899</v>
      </c>
    </row>
    <row r="6">
      <c r="A6" s="2" t="inlineStr">
        <is>
          <t>Unrealized P&amp;L (open shares at Alpaca marks)</t>
        </is>
      </c>
      <c r="B6" s="3" t="n">
        <v>-1847.750099999999</v>
      </c>
    </row>
    <row r="7">
      <c r="A7" s="2" t="inlineStr">
        <is>
          <t>Dividends, fees &amp; interest</t>
        </is>
      </c>
      <c r="B7" s="3" t="n">
        <v>-1.38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546.9</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339.4261</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186.795</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528.9899</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271.5433</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349.595</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59.3382</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856.475</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1266.445</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99.09</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243.44</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734.8049999999999</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235.82</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37.2801</v>
      </c>
      <c r="H15" s="6">
        <f>D15*G15</f>
        <v/>
      </c>
      <c r="I15" s="3">
        <f>D15*(G15-F15)</f>
        <v/>
      </c>
      <c r="J15" s="7">
        <f>IF(D15&gt;0,1,-1)*(G15/F15-1)</f>
        <v/>
      </c>
    </row>
    <row r="16">
      <c r="A16" s="2" t="inlineStr">
        <is>
          <t>NVDA</t>
        </is>
      </c>
      <c r="B16" s="2" t="inlineStr">
        <is>
          <t>Nvidia</t>
        </is>
      </c>
      <c r="C16" s="2" t="inlineStr">
        <is>
          <t>Long</t>
        </is>
      </c>
      <c r="D16" s="4" t="n">
        <v>7</v>
      </c>
      <c r="E16" s="2" t="inlineStr">
        <is>
          <t>2026-10-08</t>
        </is>
      </c>
      <c r="F16" s="5" t="n">
        <v>230.4985714285714</v>
      </c>
      <c r="G16" s="5" t="n">
        <v>216.76</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130.645</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1366.355</v>
      </c>
      <c r="H18" s="6">
        <f>D18*G18</f>
        <v/>
      </c>
      <c r="I18" s="3">
        <f>D18*(G18-F18)</f>
        <v/>
      </c>
      <c r="J18" s="7">
        <f>IF(D18&gt;0,1,-1)*(G18/F18-1)</f>
        <v/>
      </c>
    </row>
    <row r="19">
      <c r="A19" s="2" t="inlineStr">
        <is>
          <t>SPY</t>
        </is>
      </c>
      <c r="B19" s="2" t="inlineStr">
        <is>
          <t>SPDR S&amp;P 500 ETF</t>
        </is>
      </c>
      <c r="C19" s="2" t="inlineStr">
        <is>
          <t>Short</t>
        </is>
      </c>
      <c r="D19" s="4" t="n">
        <v>-15</v>
      </c>
      <c r="E19" s="2" t="inlineStr">
        <is>
          <t>2026-10-08</t>
        </is>
      </c>
      <c r="F19" s="5" t="n">
        <v>773.95</v>
      </c>
      <c r="G19" s="5" t="n">
        <v>769.91</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677.39</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344.12</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Nvidia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sheetData>
  <autoFilter ref="A1:H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915.14</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909.3200000000001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909.3200000000001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72.535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528.87</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98.98</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130.45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769.9390258789062</v>
      </c>
      <c r="L13" s="5" t="n">
        <v>769.9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547</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546.9998779296875</v>
      </c>
      <c r="L15" s="5" t="n">
        <v>547</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339.45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339.45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339.4599914550781</v>
      </c>
      <c r="L18" s="5" t="n">
        <v>339.45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186.7949981689453</v>
      </c>
      <c r="L19" s="5" t="n">
        <v>186.805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271.5899963378906</v>
      </c>
      <c r="L20" s="5" t="n">
        <v>271.69</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349.6000061035156</v>
      </c>
      <c r="L21" s="5" t="n">
        <v>349.55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59.31999969482422</v>
      </c>
      <c r="L22" s="5" t="n">
        <v>59.335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856.9000244140625</v>
      </c>
      <c r="L23" s="5" t="n">
        <v>855.83</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1266.4599609375</v>
      </c>
      <c r="L24" s="5" t="n">
        <v>1267.835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235.8000030517578</v>
      </c>
      <c r="L25" s="5" t="n">
        <v>235.8</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216.74</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216.7700042724609</v>
      </c>
      <c r="L27" s="5" t="n">
        <v>216.74</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528.9899291992188</v>
      </c>
      <c r="L28" s="5" t="n">
        <v>528.87</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99.04000091552734</v>
      </c>
      <c r="L29" s="5" t="n">
        <v>98.98</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243.4400024414062</v>
      </c>
      <c r="L30" s="5" t="n">
        <v>243.45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734.8800048828125</v>
      </c>
      <c r="L31" s="5" t="n">
        <v>734.15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37.28499984741211</v>
      </c>
      <c r="L32" s="5" t="n">
        <v>37.295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130.67</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130.6450042724609</v>
      </c>
      <c r="L34" s="5" t="n">
        <v>130.67</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1365.55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1366.025024414062</v>
      </c>
      <c r="L36" s="5" t="n">
        <v>1365.55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678</v>
      </c>
      <c r="L37" s="5" t="n">
        <v>677.76</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344.2025146484375</v>
      </c>
      <c r="L38" s="5" t="n">
        <v>344.265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sheetData>
  <autoFilter ref="A1:O5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sheetData>
  <autoFilter ref="A1:F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sheetData>
  <autoFilter ref="A1:F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2026-10-15T15:45:57Z</dcterms:created>
  <dcterms:modified xmlns:dcterms="http://purl.org/dc/terms/" xmlns:xsi="http://www.w3.org/2001/XMLSchema-instance" xsi:type="dcterms:W3CDTF">2026-10-15T15:45:59Z</dcterms:modified>
</cp:coreProperties>
</file>