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trades'!$A$1:$H$32</definedName>
    <definedName name="_xlnm._FilterDatabase" localSheetId="3" hidden="1">'Positions'!$A$1:$Q$71</definedName>
    <definedName name="_xlnm._FilterDatabase" localSheetId="4" hidden="1">'Orders'!$A$1:$O$87</definedName>
    <definedName name="_xlnm._FilterDatabase" localSheetId="5" hidden="1">'Account'!$A$1:$F$12</definedName>
    <definedName name="_xlnm._FilterDatabase" localSheetId="6" hidden="1">'Cash activity'!$A$1:$F$14</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2026-10-16 09:46 ET)</t>
        </is>
      </c>
      <c r="B2" s="3" t="n">
        <v>97758.232</v>
      </c>
    </row>
    <row r="3">
      <c r="A3" s="2" t="inlineStr">
        <is>
          <t>Net deposits</t>
        </is>
      </c>
      <c r="B3" s="3" t="n">
        <v>100000</v>
      </c>
    </row>
    <row r="4">
      <c r="A4" s="2" t="inlineStr">
        <is>
          <t>Account P&amp;L</t>
        </is>
      </c>
      <c r="B4" s="3">
        <f>B2-B3</f>
        <v/>
      </c>
    </row>
    <row r="5">
      <c r="A5" s="2" t="inlineStr">
        <is>
          <t>Realized P&amp;L (closed shares, FIFO)</t>
        </is>
      </c>
      <c r="B5" s="3" t="n">
        <v>-48.65999999999804</v>
      </c>
    </row>
    <row r="6">
      <c r="A6" s="2" t="inlineStr">
        <is>
          <t>Unrealized P&amp;L (open shares at Alpaca marks)</t>
        </is>
      </c>
      <c r="B6" s="3" t="n">
        <v>-2190.838000000001</v>
      </c>
    </row>
    <row r="7">
      <c r="A7" s="2" t="inlineStr">
        <is>
          <t>Dividends, fees &amp; interest</t>
        </is>
      </c>
      <c r="B7" s="3" t="n">
        <v>-2.27</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547.33</v>
      </c>
      <c r="H2" s="6">
        <f>D2*G2</f>
        <v/>
      </c>
      <c r="I2" s="3">
        <f>D2*(G2-F2)</f>
        <v/>
      </c>
      <c r="J2" s="7">
        <f>IF(D2&gt;0,1,-1)*(G2/F2-1)</f>
        <v/>
      </c>
    </row>
    <row r="3">
      <c r="A3" s="2" t="inlineStr">
        <is>
          <t>BAC</t>
        </is>
      </c>
      <c r="B3" s="2" t="inlineStr">
        <is>
          <t>BAC</t>
        </is>
      </c>
      <c r="C3" s="2" t="inlineStr">
        <is>
          <t>Short</t>
        </is>
      </c>
      <c r="D3" s="4" t="n">
        <v>-44</v>
      </c>
      <c r="E3" s="2" t="inlineStr">
        <is>
          <t>2026-10-15</t>
        </is>
      </c>
      <c r="F3" s="5" t="n">
        <v>51.63999999999999</v>
      </c>
      <c r="G3" s="5" t="n">
        <v>52.145</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247.96</v>
      </c>
      <c r="H4" s="6">
        <f>D4*G4</f>
        <v/>
      </c>
      <c r="I4" s="3">
        <f>D4*(G4-F4)</f>
        <v/>
      </c>
      <c r="J4" s="7">
        <f>IF(D4&gt;0,1,-1)*(G4/F4-1)</f>
        <v/>
      </c>
    </row>
    <row r="5">
      <c r="A5" s="2" t="inlineStr">
        <is>
          <t>DAL</t>
        </is>
      </c>
      <c r="B5" s="2" t="inlineStr">
        <is>
          <t>DAL</t>
        </is>
      </c>
      <c r="C5" s="2" t="inlineStr">
        <is>
          <t>Short</t>
        </is>
      </c>
      <c r="D5" s="4" t="n">
        <v>-60</v>
      </c>
      <c r="E5" s="2" t="inlineStr">
        <is>
          <t>2026-10-15</t>
        </is>
      </c>
      <c r="F5" s="5" t="n">
        <v>78.10999999999999</v>
      </c>
      <c r="G5" s="5" t="n">
        <v>78.735</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56.865</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342.315</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23.515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233.765</v>
      </c>
      <c r="H9" s="6">
        <f>D9*G9</f>
        <v/>
      </c>
      <c r="I9" s="3">
        <f>D9*(G9-F9)</f>
        <v/>
      </c>
      <c r="J9" s="7">
        <f>IF(D9&gt;0,1,-1)*(G9/F9-1)</f>
        <v/>
      </c>
    </row>
    <row r="10">
      <c r="A10" s="2" t="inlineStr">
        <is>
          <t>MSFT</t>
        </is>
      </c>
      <c r="B10" s="2" t="inlineStr">
        <is>
          <t>MSFT</t>
        </is>
      </c>
      <c r="C10" s="2" t="inlineStr">
        <is>
          <t>Long</t>
        </is>
      </c>
      <c r="D10" s="4" t="n">
        <v>5</v>
      </c>
      <c r="E10" s="2" t="inlineStr">
        <is>
          <t>2026-10-15</t>
        </is>
      </c>
      <c r="F10" s="5" t="n">
        <v>539.6299999999999</v>
      </c>
      <c r="G10" s="5" t="n">
        <v>537.91</v>
      </c>
      <c r="H10" s="6">
        <f>D10*G10</f>
        <v/>
      </c>
      <c r="I10" s="3">
        <f>D10*(G10-F10)</f>
        <v/>
      </c>
      <c r="J10" s="7">
        <f>IF(D10&gt;0,1,-1)*(G10/F10-1)</f>
        <v/>
      </c>
    </row>
    <row r="11">
      <c r="A11" s="2" t="inlineStr">
        <is>
          <t>NFLX</t>
        </is>
      </c>
      <c r="B11" s="2" t="inlineStr">
        <is>
          <t>NFLX</t>
        </is>
      </c>
      <c r="C11" s="2" t="inlineStr">
        <is>
          <t>Short</t>
        </is>
      </c>
      <c r="D11" s="4" t="n">
        <v>-30</v>
      </c>
      <c r="E11" s="2" t="inlineStr">
        <is>
          <t>2026-10-15</t>
        </is>
      </c>
      <c r="F11" s="5" t="n">
        <v>72.61</v>
      </c>
      <c r="G11" s="5" t="n">
        <v>71.17</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37.509</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216.315</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72.8</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132.855</v>
      </c>
      <c r="H15" s="6">
        <f>D15*G15</f>
        <v/>
      </c>
      <c r="I15" s="3">
        <f>D15*(G15-F15)</f>
        <v/>
      </c>
      <c r="J15" s="7">
        <f>IF(D15&gt;0,1,-1)*(G15/F15-1)</f>
        <v/>
      </c>
    </row>
    <row r="16">
      <c r="A16" s="2" t="inlineStr">
        <is>
          <t>SMCI</t>
        </is>
      </c>
      <c r="B16" s="2" t="inlineStr">
        <is>
          <t>SMCI</t>
        </is>
      </c>
      <c r="C16" s="2" t="inlineStr">
        <is>
          <t>Short</t>
        </is>
      </c>
      <c r="D16" s="4" t="n">
        <v>-62</v>
      </c>
      <c r="E16" s="2" t="inlineStr">
        <is>
          <t>2026-10-15</t>
        </is>
      </c>
      <c r="F16" s="5" t="n">
        <v>35.09467741935484</v>
      </c>
      <c r="G16" s="5" t="n">
        <v>33.5</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168.84</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370.04</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315.01</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sheetData>
  <autoFilter ref="A1:H3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772.21</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949.14</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902.865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902.865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71.20999999999999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531.36</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99.605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131.8</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772.21</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772.21</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772.21</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772.21</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547.89</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547.89</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339.045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339.045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339.045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191.07</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272.28</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347.525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56.945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858.33</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1257.76</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234.04</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216.385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216.385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531.36</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99.605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244.125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731.71</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37.515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130</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130</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1349.865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1349.865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665.27</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341.02</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339.045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190.96</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531.39</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272.28</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347.525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858.54</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1257.76</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99.605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244.125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731.9</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130</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1349.865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772.24</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665.27</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341.02</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547.74</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56.945</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234.04</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37.505</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216.33</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-44</v>
      </c>
      <c r="J59" s="5" t="n">
        <v>51.63999999999999</v>
      </c>
      <c r="K59" s="5" t="n"/>
      <c r="L59" s="5" t="n">
        <v>52.15</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247.72</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-60</v>
      </c>
      <c r="J61" s="5" t="n">
        <v>78.11</v>
      </c>
      <c r="K61" s="5" t="n"/>
      <c r="L61" s="5" t="n">
        <v>78.77</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342.275</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23.52</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5</v>
      </c>
      <c r="J64" s="5" t="n">
        <v>539.63</v>
      </c>
      <c r="K64" s="5" t="n"/>
      <c r="L64" s="5" t="n">
        <v>537.9299999999999</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-30</v>
      </c>
      <c r="J65" s="5" t="n">
        <v>72.61</v>
      </c>
      <c r="K65" s="5" t="n"/>
      <c r="L65" s="5" t="n">
        <v>71.20999999999999</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72.86</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132.915</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-62</v>
      </c>
      <c r="J68" s="5" t="n">
        <v>35.094677</v>
      </c>
      <c r="K68" s="5" t="n"/>
      <c r="L68" s="5" t="n">
        <v>33.55</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169.27</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369.87</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315.63</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sheetData>
  <autoFilter ref="A1:O8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54804.21994470312</v>
      </c>
      <c r="D12" s="7">
        <f>IF(C11&gt;0,(B12-B11)/C11,"")</f>
        <v/>
      </c>
      <c r="E12" s="3">
        <f>B12-$B$2</f>
        <v/>
      </c>
      <c r="F12" s="7">
        <f>IF(C12&gt;0,E12/C12,"")</f>
        <v/>
      </c>
    </row>
  </sheetData>
  <autoFilter ref="A1:F1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sheetData>
  <autoFilter ref="A1:F1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2026-10-16T13:46:36Z</dcterms:created>
  <dcterms:modified xmlns:dcterms="http://purl.org/dc/terms/" xmlns:xsi="http://www.w3.org/2001/XMLSchema-instance" xsi:type="dcterms:W3CDTF">2026-10-16T13:46:41Z</dcterms:modified>
</cp:coreProperties>
</file>