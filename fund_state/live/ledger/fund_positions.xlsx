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Account" sheetId="3" state="visible" r:id="rId3"/>
    <sheet xmlns:r="http://schemas.openxmlformats.org/officeDocument/2006/relationships" name="Cash activity" sheetId="4" state="visible" r:id="rId4"/>
    <sheet xmlns:r="http://schemas.openxmlformats.org/officeDocument/2006/relationships" name="Notes" sheetId="5" state="visible" r:id="rId5"/>
  </sheets>
  <definedNames>
    <definedName name="_xlnm._FilterDatabase" localSheetId="0" hidden="1">'Positions'!$A$1:$Q$2</definedName>
    <definedName name="_xlnm._FilterDatabase" localSheetId="1" hidden="1">'Orders'!$A$1:$N$2</definedName>
    <definedName name="_xlnm._FilterDatabase" localSheetId="2" hidden="1">'Account'!$A$1:$D$79</definedName>
    <definedName name="_xlnm._FilterDatabase" localSheetId="3" hidden="1">'Cash activity'!$A$1:$F$2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%;-0.00%;-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90" customWidth="1" min="17" max="17"/>
  </cols>
  <sheetData>
    <row r="1" ht="30" customHeight="1">
      <c r="A1" s="1" t="inlineStr">
        <is>
          <t>Week (as-of Wed)</t>
        </is>
      </c>
      <c r="B1" s="1" t="inlineStr">
        <is>
          <t>Ticker</t>
        </is>
      </c>
      <c r="C1" s="1" t="inlineStr">
        <is>
          <t>Name</t>
        </is>
      </c>
      <c r="D1" s="1" t="inlineStr">
        <is>
          <t>Role</t>
        </is>
      </c>
      <c r="E1" s="1" t="inlineStr">
        <is>
          <t>Side</t>
        </is>
      </c>
      <c r="F1" s="1" t="inlineStr">
        <is>
          <t>Status</t>
        </is>
      </c>
      <c r="G1" s="1" t="inlineStr">
        <is>
          <t>Entry day</t>
        </is>
      </c>
      <c r="H1" s="1" t="inlineStr">
        <is>
          <t>Exit day</t>
        </is>
      </c>
      <c r="I1" s="1" t="inlineStr">
        <is>
          <t>Shares (signed)</t>
        </is>
      </c>
      <c r="J1" s="1" t="inlineStr">
        <is>
          <t>Entry price ($)</t>
        </is>
      </c>
      <c r="K1" s="1" t="inlineStr">
        <is>
          <t>Exit price ($)</t>
        </is>
      </c>
      <c r="L1" s="1" t="inlineStr">
        <is>
          <t>Current price ($)</t>
        </is>
      </c>
      <c r="M1" s="1" t="inlineStr">
        <is>
          <t>Return (%)</t>
        </is>
      </c>
      <c r="N1" s="1" t="inlineStr">
        <is>
          <t>P&amp;L ($)</t>
        </is>
      </c>
      <c r="O1" s="1" t="inlineStr">
        <is>
          <t>Confidence</t>
        </is>
      </c>
      <c r="P1" s="1" t="inlineStr">
        <is>
          <t>Red team</t>
        </is>
      </c>
      <c r="Q1" s="1" t="inlineStr">
        <is>
          <t>Thesis</t>
        </is>
      </c>
    </row>
  </sheetData>
  <autoFilter ref="A1:Q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34" customWidth="1" min="14" max="14"/>
  </cols>
  <sheetData>
    <row r="1" ht="30" customHeight="1">
      <c r="A1" s="1" t="inlineStr">
        <is>
          <t>Week (as-of Wed)</t>
        </is>
      </c>
      <c r="B1" s="1" t="inlineStr">
        <is>
          <t>Execution day</t>
        </is>
      </c>
      <c r="C1" s="1" t="inlineStr">
        <is>
          <t>Ticker</t>
        </is>
      </c>
      <c r="D1" s="1" t="inlineStr">
        <is>
          <t>Leg</t>
        </is>
      </c>
      <c r="E1" s="1" t="inlineStr">
        <is>
          <t>Side</t>
        </is>
      </c>
      <c r="F1" s="1" t="inlineStr">
        <is>
          <t>Quantity</t>
        </is>
      </c>
      <c r="G1" s="1" t="inlineStr">
        <is>
          <t>Order type</t>
        </is>
      </c>
      <c r="H1" s="1" t="inlineStr">
        <is>
          <t>Reference price ($)</t>
        </is>
      </c>
      <c r="I1" s="1" t="inlineStr">
        <is>
          <t>Status</t>
        </is>
      </c>
      <c r="J1" s="1" t="inlineStr">
        <is>
          <t>Fill price ($)</t>
        </is>
      </c>
      <c r="K1" s="1" t="inlineStr">
        <is>
          <t>Official close ($)</t>
        </is>
      </c>
      <c r="L1" s="1" t="inlineStr">
        <is>
          <t>Slippage vs close (bp)</t>
        </is>
      </c>
      <c r="M1" s="1" t="inlineStr">
        <is>
          <t>Notional ($)</t>
        </is>
      </c>
      <c r="N1" s="1" t="inlineStr">
        <is>
          <t>Client order id</t>
        </is>
      </c>
    </row>
  </sheetData>
  <autoFilter ref="A1:N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 ht="30" customHeight="1">
      <c r="A1" s="1" t="inlineStr">
        <is>
          <t>Day</t>
        </is>
      </c>
      <c r="B1" s="1" t="inlineStr">
        <is>
          <t>Paper account value ($)</t>
        </is>
      </c>
      <c r="C1" s="1" t="inlineStr">
        <is>
          <t>Daily return (%)</t>
        </is>
      </c>
      <c r="D1" s="1" t="inlineStr">
        <is>
          <t>Since first trade (%)</t>
        </is>
      </c>
    </row>
    <row r="2">
      <c r="A2" s="2" t="inlineStr">
        <is>
          <t>2026-06-10</t>
        </is>
      </c>
      <c r="B2" s="3" t="n">
        <v>100000</v>
      </c>
      <c r="C2" s="4" t="inlineStr"/>
      <c r="D2" s="4">
        <f>B2/$B$2-1</f>
        <v/>
      </c>
    </row>
    <row r="3">
      <c r="A3" s="2" t="inlineStr">
        <is>
          <t>2026-06-11</t>
        </is>
      </c>
      <c r="B3" s="3" t="n">
        <v>100000</v>
      </c>
      <c r="C3" s="4">
        <f>B3/B2-1</f>
        <v/>
      </c>
      <c r="D3" s="4">
        <f>B3/$B$2-1</f>
        <v/>
      </c>
    </row>
    <row r="4">
      <c r="A4" s="2" t="inlineStr">
        <is>
          <t>2026-06-12</t>
        </is>
      </c>
      <c r="B4" s="3" t="n">
        <v>100000</v>
      </c>
      <c r="C4" s="4">
        <f>B4/B3-1</f>
        <v/>
      </c>
      <c r="D4" s="4">
        <f>B4/$B$2-1</f>
        <v/>
      </c>
    </row>
    <row r="5">
      <c r="A5" s="2" t="inlineStr">
        <is>
          <t>2026-06-13</t>
        </is>
      </c>
      <c r="B5" s="3" t="n">
        <v>100000</v>
      </c>
      <c r="C5" s="4">
        <f>B5/B4-1</f>
        <v/>
      </c>
      <c r="D5" s="4">
        <f>B5/$B$2-1</f>
        <v/>
      </c>
    </row>
    <row r="6">
      <c r="A6" s="2" t="inlineStr">
        <is>
          <t>2026-06-16</t>
        </is>
      </c>
      <c r="B6" s="3" t="n">
        <v>100000</v>
      </c>
      <c r="C6" s="4">
        <f>B6/B5-1</f>
        <v/>
      </c>
      <c r="D6" s="4">
        <f>B6/$B$2-1</f>
        <v/>
      </c>
    </row>
    <row r="7">
      <c r="A7" s="2" t="inlineStr">
        <is>
          <t>2026-06-17</t>
        </is>
      </c>
      <c r="B7" s="3" t="n">
        <v>100000</v>
      </c>
      <c r="C7" s="4">
        <f>B7/B6-1</f>
        <v/>
      </c>
      <c r="D7" s="4">
        <f>B7/$B$2-1</f>
        <v/>
      </c>
    </row>
    <row r="8">
      <c r="A8" s="2" t="inlineStr">
        <is>
          <t>2026-06-18</t>
        </is>
      </c>
      <c r="B8" s="3" t="n">
        <v>100000</v>
      </c>
      <c r="C8" s="4">
        <f>B8/B7-1</f>
        <v/>
      </c>
      <c r="D8" s="4">
        <f>B8/$B$2-1</f>
        <v/>
      </c>
    </row>
    <row r="9">
      <c r="A9" s="2" t="inlineStr">
        <is>
          <t>2026-06-19</t>
        </is>
      </c>
      <c r="B9" s="3" t="n">
        <v>100000</v>
      </c>
      <c r="C9" s="4">
        <f>B9/B8-1</f>
        <v/>
      </c>
      <c r="D9" s="4">
        <f>B9/$B$2-1</f>
        <v/>
      </c>
    </row>
    <row r="10">
      <c r="A10" s="2" t="inlineStr">
        <is>
          <t>2026-06-23</t>
        </is>
      </c>
      <c r="B10" s="3" t="n">
        <v>100000</v>
      </c>
      <c r="C10" s="4">
        <f>B10/B9-1</f>
        <v/>
      </c>
      <c r="D10" s="4">
        <f>B10/$B$2-1</f>
        <v/>
      </c>
    </row>
    <row r="11">
      <c r="A11" s="2" t="inlineStr">
        <is>
          <t>2026-06-24</t>
        </is>
      </c>
      <c r="B11" s="3" t="n">
        <v>100000</v>
      </c>
      <c r="C11" s="4">
        <f>B11/B10-1</f>
        <v/>
      </c>
      <c r="D11" s="4">
        <f>B11/$B$2-1</f>
        <v/>
      </c>
    </row>
    <row r="12">
      <c r="A12" s="2" t="inlineStr">
        <is>
          <t>2026-06-25</t>
        </is>
      </c>
      <c r="B12" s="3" t="n">
        <v>100000</v>
      </c>
      <c r="C12" s="4">
        <f>B12/B11-1</f>
        <v/>
      </c>
      <c r="D12" s="4">
        <f>B12/$B$2-1</f>
        <v/>
      </c>
    </row>
    <row r="13">
      <c r="A13" s="2" t="inlineStr">
        <is>
          <t>2026-06-26</t>
        </is>
      </c>
      <c r="B13" s="3" t="n">
        <v>100000</v>
      </c>
      <c r="C13" s="4">
        <f>B13/B12-1</f>
        <v/>
      </c>
      <c r="D13" s="4">
        <f>B13/$B$2-1</f>
        <v/>
      </c>
    </row>
    <row r="14">
      <c r="A14" s="2" t="inlineStr">
        <is>
          <t>2026-06-27</t>
        </is>
      </c>
      <c r="B14" s="3" t="n">
        <v>100000</v>
      </c>
      <c r="C14" s="4">
        <f>B14/B13-1</f>
        <v/>
      </c>
      <c r="D14" s="4">
        <f>B14/$B$2-1</f>
        <v/>
      </c>
    </row>
    <row r="15">
      <c r="A15" s="2" t="inlineStr">
        <is>
          <t>2026-06-30</t>
        </is>
      </c>
      <c r="B15" s="3" t="n">
        <v>100000</v>
      </c>
      <c r="C15" s="4">
        <f>B15/B14-1</f>
        <v/>
      </c>
      <c r="D15" s="4">
        <f>B15/$B$2-1</f>
        <v/>
      </c>
    </row>
    <row r="16">
      <c r="A16" s="2" t="inlineStr">
        <is>
          <t>2026-07-01</t>
        </is>
      </c>
      <c r="B16" s="3" t="n">
        <v>100000</v>
      </c>
      <c r="C16" s="4">
        <f>B16/B15-1</f>
        <v/>
      </c>
      <c r="D16" s="4">
        <f>B16/$B$2-1</f>
        <v/>
      </c>
    </row>
    <row r="17">
      <c r="A17" s="2" t="inlineStr">
        <is>
          <t>2026-07-02</t>
        </is>
      </c>
      <c r="B17" s="3" t="n">
        <v>100000</v>
      </c>
      <c r="C17" s="4">
        <f>B17/B16-1</f>
        <v/>
      </c>
      <c r="D17" s="4">
        <f>B17/$B$2-1</f>
        <v/>
      </c>
    </row>
    <row r="18">
      <c r="A18" s="2" t="inlineStr">
        <is>
          <t>2026-07-03</t>
        </is>
      </c>
      <c r="B18" s="3" t="n">
        <v>100000</v>
      </c>
      <c r="C18" s="4">
        <f>B18/B17-1</f>
        <v/>
      </c>
      <c r="D18" s="4">
        <f>B18/$B$2-1</f>
        <v/>
      </c>
    </row>
    <row r="19">
      <c r="A19" s="2" t="inlineStr">
        <is>
          <t>2026-07-07</t>
        </is>
      </c>
      <c r="B19" s="3" t="n">
        <v>100000</v>
      </c>
      <c r="C19" s="4">
        <f>B19/B18-1</f>
        <v/>
      </c>
      <c r="D19" s="4">
        <f>B19/$B$2-1</f>
        <v/>
      </c>
    </row>
    <row r="20">
      <c r="A20" s="2" t="inlineStr">
        <is>
          <t>2026-07-08</t>
        </is>
      </c>
      <c r="B20" s="3" t="n">
        <v>100000</v>
      </c>
      <c r="C20" s="4">
        <f>B20/B19-1</f>
        <v/>
      </c>
      <c r="D20" s="4">
        <f>B20/$B$2-1</f>
        <v/>
      </c>
    </row>
    <row r="21">
      <c r="A21" s="2" t="inlineStr">
        <is>
          <t>2026-07-09</t>
        </is>
      </c>
      <c r="B21" s="3" t="n">
        <v>100000</v>
      </c>
      <c r="C21" s="4">
        <f>B21/B20-1</f>
        <v/>
      </c>
      <c r="D21" s="4">
        <f>B21/$B$2-1</f>
        <v/>
      </c>
    </row>
    <row r="22">
      <c r="A22" s="2" t="inlineStr">
        <is>
          <t>2026-07-10</t>
        </is>
      </c>
      <c r="B22" s="3" t="n">
        <v>100000</v>
      </c>
      <c r="C22" s="4">
        <f>B22/B21-1</f>
        <v/>
      </c>
      <c r="D22" s="4">
        <f>B22/$B$2-1</f>
        <v/>
      </c>
    </row>
    <row r="23">
      <c r="A23" s="2" t="inlineStr">
        <is>
          <t>2026-07-11</t>
        </is>
      </c>
      <c r="B23" s="3" t="n">
        <v>100000</v>
      </c>
      <c r="C23" s="4">
        <f>B23/B22-1</f>
        <v/>
      </c>
      <c r="D23" s="4">
        <f>B23/$B$2-1</f>
        <v/>
      </c>
    </row>
    <row r="24">
      <c r="A24" s="2" t="inlineStr">
        <is>
          <t>2026-07-14</t>
        </is>
      </c>
      <c r="B24" s="3" t="n">
        <v>100000</v>
      </c>
      <c r="C24" s="4">
        <f>B24/B23-1</f>
        <v/>
      </c>
      <c r="D24" s="4">
        <f>B24/$B$2-1</f>
        <v/>
      </c>
    </row>
    <row r="25">
      <c r="A25" s="2" t="inlineStr">
        <is>
          <t>2026-07-15</t>
        </is>
      </c>
      <c r="B25" s="3" t="n">
        <v>100000</v>
      </c>
      <c r="C25" s="4">
        <f>B25/B24-1</f>
        <v/>
      </c>
      <c r="D25" s="4">
        <f>B25/$B$2-1</f>
        <v/>
      </c>
    </row>
    <row r="26">
      <c r="A26" s="2" t="inlineStr">
        <is>
          <t>2026-07-16</t>
        </is>
      </c>
      <c r="B26" s="3" t="n">
        <v>100000</v>
      </c>
      <c r="C26" s="4">
        <f>B26/B25-1</f>
        <v/>
      </c>
      <c r="D26" s="4">
        <f>B26/$B$2-1</f>
        <v/>
      </c>
    </row>
    <row r="27">
      <c r="A27" s="2" t="inlineStr">
        <is>
          <t>2026-07-17</t>
        </is>
      </c>
      <c r="B27" s="3" t="n">
        <v>100000</v>
      </c>
      <c r="C27" s="4">
        <f>B27/B26-1</f>
        <v/>
      </c>
      <c r="D27" s="4">
        <f>B27/$B$2-1</f>
        <v/>
      </c>
    </row>
    <row r="28">
      <c r="A28" s="2" t="inlineStr">
        <is>
          <t>2026-07-18</t>
        </is>
      </c>
      <c r="B28" s="3" t="n">
        <v>100000</v>
      </c>
      <c r="C28" s="4">
        <f>B28/B27-1</f>
        <v/>
      </c>
      <c r="D28" s="4">
        <f>B28/$B$2-1</f>
        <v/>
      </c>
    </row>
    <row r="29">
      <c r="A29" s="2" t="inlineStr">
        <is>
          <t>2026-07-21</t>
        </is>
      </c>
      <c r="B29" s="3" t="n">
        <v>100000</v>
      </c>
      <c r="C29" s="4">
        <f>B29/B28-1</f>
        <v/>
      </c>
      <c r="D29" s="4">
        <f>B29/$B$2-1</f>
        <v/>
      </c>
    </row>
    <row r="30">
      <c r="A30" s="2" t="inlineStr">
        <is>
          <t>2026-07-22</t>
        </is>
      </c>
      <c r="B30" s="3" t="n">
        <v>100000</v>
      </c>
      <c r="C30" s="4">
        <f>B30/B29-1</f>
        <v/>
      </c>
      <c r="D30" s="4">
        <f>B30/$B$2-1</f>
        <v/>
      </c>
    </row>
    <row r="31">
      <c r="A31" s="2" t="inlineStr">
        <is>
          <t>2026-07-23</t>
        </is>
      </c>
      <c r="B31" s="3" t="n">
        <v>100000</v>
      </c>
      <c r="C31" s="4">
        <f>B31/B30-1</f>
        <v/>
      </c>
      <c r="D31" s="4">
        <f>B31/$B$2-1</f>
        <v/>
      </c>
    </row>
    <row r="32">
      <c r="A32" s="2" t="inlineStr">
        <is>
          <t>2026-07-24</t>
        </is>
      </c>
      <c r="B32" s="3" t="n">
        <v>100000</v>
      </c>
      <c r="C32" s="4">
        <f>B32/B31-1</f>
        <v/>
      </c>
      <c r="D32" s="4">
        <f>B32/$B$2-1</f>
        <v/>
      </c>
    </row>
    <row r="33">
      <c r="A33" s="2" t="inlineStr">
        <is>
          <t>2026-07-25</t>
        </is>
      </c>
      <c r="B33" s="3" t="n">
        <v>100000</v>
      </c>
      <c r="C33" s="4">
        <f>B33/B32-1</f>
        <v/>
      </c>
      <c r="D33" s="4">
        <f>B33/$B$2-1</f>
        <v/>
      </c>
    </row>
    <row r="34">
      <c r="A34" s="2" t="inlineStr">
        <is>
          <t>2026-07-28</t>
        </is>
      </c>
      <c r="B34" s="3" t="n">
        <v>100000</v>
      </c>
      <c r="C34" s="4">
        <f>B34/B33-1</f>
        <v/>
      </c>
      <c r="D34" s="4">
        <f>B34/$B$2-1</f>
        <v/>
      </c>
    </row>
    <row r="35">
      <c r="A35" s="2" t="inlineStr">
        <is>
          <t>2026-07-29</t>
        </is>
      </c>
      <c r="B35" s="3" t="n">
        <v>100000</v>
      </c>
      <c r="C35" s="4">
        <f>B35/B34-1</f>
        <v/>
      </c>
      <c r="D35" s="4">
        <f>B35/$B$2-1</f>
        <v/>
      </c>
    </row>
    <row r="36">
      <c r="A36" s="2" t="inlineStr">
        <is>
          <t>2026-07-30</t>
        </is>
      </c>
      <c r="B36" s="3" t="n">
        <v>100000</v>
      </c>
      <c r="C36" s="4">
        <f>B36/B35-1</f>
        <v/>
      </c>
      <c r="D36" s="4">
        <f>B36/$B$2-1</f>
        <v/>
      </c>
    </row>
    <row r="37">
      <c r="A37" s="2" t="inlineStr">
        <is>
          <t>2026-07-31</t>
        </is>
      </c>
      <c r="B37" s="3" t="n">
        <v>100000</v>
      </c>
      <c r="C37" s="4">
        <f>B37/B36-1</f>
        <v/>
      </c>
      <c r="D37" s="4">
        <f>B37/$B$2-1</f>
        <v/>
      </c>
    </row>
    <row r="38">
      <c r="A38" s="2" t="inlineStr">
        <is>
          <t>2026-08-01</t>
        </is>
      </c>
      <c r="B38" s="3" t="n">
        <v>100000</v>
      </c>
      <c r="C38" s="4">
        <f>B38/B37-1</f>
        <v/>
      </c>
      <c r="D38" s="4">
        <f>B38/$B$2-1</f>
        <v/>
      </c>
    </row>
    <row r="39">
      <c r="A39" s="2" t="inlineStr">
        <is>
          <t>2026-08-04</t>
        </is>
      </c>
      <c r="B39" s="3" t="n">
        <v>100000</v>
      </c>
      <c r="C39" s="4">
        <f>B39/B38-1</f>
        <v/>
      </c>
      <c r="D39" s="4">
        <f>B39/$B$2-1</f>
        <v/>
      </c>
    </row>
    <row r="40">
      <c r="A40" s="2" t="inlineStr">
        <is>
          <t>2026-08-05</t>
        </is>
      </c>
      <c r="B40" s="3" t="n">
        <v>100000</v>
      </c>
      <c r="C40" s="4">
        <f>B40/B39-1</f>
        <v/>
      </c>
      <c r="D40" s="4">
        <f>B40/$B$2-1</f>
        <v/>
      </c>
    </row>
    <row r="41">
      <c r="A41" s="2" t="inlineStr">
        <is>
          <t>2026-08-06</t>
        </is>
      </c>
      <c r="B41" s="3" t="n">
        <v>100000</v>
      </c>
      <c r="C41" s="4">
        <f>B41/B40-1</f>
        <v/>
      </c>
      <c r="D41" s="4">
        <f>B41/$B$2-1</f>
        <v/>
      </c>
    </row>
    <row r="42">
      <c r="A42" s="2" t="inlineStr">
        <is>
          <t>2026-08-07</t>
        </is>
      </c>
      <c r="B42" s="3" t="n">
        <v>100000</v>
      </c>
      <c r="C42" s="4">
        <f>B42/B41-1</f>
        <v/>
      </c>
      <c r="D42" s="4">
        <f>B42/$B$2-1</f>
        <v/>
      </c>
    </row>
    <row r="43">
      <c r="A43" s="2" t="inlineStr">
        <is>
          <t>2026-08-08</t>
        </is>
      </c>
      <c r="B43" s="3" t="n">
        <v>100000</v>
      </c>
      <c r="C43" s="4">
        <f>B43/B42-1</f>
        <v/>
      </c>
      <c r="D43" s="4">
        <f>B43/$B$2-1</f>
        <v/>
      </c>
    </row>
    <row r="44">
      <c r="A44" s="2" t="inlineStr">
        <is>
          <t>2026-08-11</t>
        </is>
      </c>
      <c r="B44" s="3" t="n">
        <v>100000</v>
      </c>
      <c r="C44" s="4">
        <f>B44/B43-1</f>
        <v/>
      </c>
      <c r="D44" s="4">
        <f>B44/$B$2-1</f>
        <v/>
      </c>
    </row>
    <row r="45">
      <c r="A45" s="2" t="inlineStr">
        <is>
          <t>2026-08-12</t>
        </is>
      </c>
      <c r="B45" s="3" t="n">
        <v>100000</v>
      </c>
      <c r="C45" s="4">
        <f>B45/B44-1</f>
        <v/>
      </c>
      <c r="D45" s="4">
        <f>B45/$B$2-1</f>
        <v/>
      </c>
    </row>
    <row r="46">
      <c r="A46" s="2" t="inlineStr">
        <is>
          <t>2026-08-13</t>
        </is>
      </c>
      <c r="B46" s="3" t="n">
        <v>100000</v>
      </c>
      <c r="C46" s="4">
        <f>B46/B45-1</f>
        <v/>
      </c>
      <c r="D46" s="4">
        <f>B46/$B$2-1</f>
        <v/>
      </c>
    </row>
    <row r="47">
      <c r="A47" s="2" t="inlineStr">
        <is>
          <t>2026-08-14</t>
        </is>
      </c>
      <c r="B47" s="3" t="n">
        <v>100000</v>
      </c>
      <c r="C47" s="4">
        <f>B47/B46-1</f>
        <v/>
      </c>
      <c r="D47" s="4">
        <f>B47/$B$2-1</f>
        <v/>
      </c>
    </row>
    <row r="48">
      <c r="A48" s="2" t="inlineStr">
        <is>
          <t>2026-08-15</t>
        </is>
      </c>
      <c r="B48" s="3" t="n">
        <v>100000</v>
      </c>
      <c r="C48" s="4">
        <f>B48/B47-1</f>
        <v/>
      </c>
      <c r="D48" s="4">
        <f>B48/$B$2-1</f>
        <v/>
      </c>
    </row>
    <row r="49">
      <c r="A49" s="2" t="inlineStr">
        <is>
          <t>2026-08-18</t>
        </is>
      </c>
      <c r="B49" s="3" t="n">
        <v>100000</v>
      </c>
      <c r="C49" s="4">
        <f>B49/B48-1</f>
        <v/>
      </c>
      <c r="D49" s="4">
        <f>B49/$B$2-1</f>
        <v/>
      </c>
    </row>
    <row r="50">
      <c r="A50" s="2" t="inlineStr">
        <is>
          <t>2026-08-19</t>
        </is>
      </c>
      <c r="B50" s="3" t="n">
        <v>100000</v>
      </c>
      <c r="C50" s="4">
        <f>B50/B49-1</f>
        <v/>
      </c>
      <c r="D50" s="4">
        <f>B50/$B$2-1</f>
        <v/>
      </c>
    </row>
    <row r="51">
      <c r="A51" s="2" t="inlineStr">
        <is>
          <t>2026-08-20</t>
        </is>
      </c>
      <c r="B51" s="3" t="n">
        <v>100000</v>
      </c>
      <c r="C51" s="4">
        <f>B51/B50-1</f>
        <v/>
      </c>
      <c r="D51" s="4">
        <f>B51/$B$2-1</f>
        <v/>
      </c>
    </row>
    <row r="52">
      <c r="A52" s="2" t="inlineStr">
        <is>
          <t>2026-08-21</t>
        </is>
      </c>
      <c r="B52" s="3" t="n">
        <v>100000</v>
      </c>
      <c r="C52" s="4">
        <f>B52/B51-1</f>
        <v/>
      </c>
      <c r="D52" s="4">
        <f>B52/$B$2-1</f>
        <v/>
      </c>
    </row>
    <row r="53">
      <c r="A53" s="2" t="inlineStr">
        <is>
          <t>2026-08-22</t>
        </is>
      </c>
      <c r="B53" s="3" t="n">
        <v>100000</v>
      </c>
      <c r="C53" s="4">
        <f>B53/B52-1</f>
        <v/>
      </c>
      <c r="D53" s="4">
        <f>B53/$B$2-1</f>
        <v/>
      </c>
    </row>
    <row r="54">
      <c r="A54" s="2" t="inlineStr">
        <is>
          <t>2026-08-25</t>
        </is>
      </c>
      <c r="B54" s="3" t="n">
        <v>100000</v>
      </c>
      <c r="C54" s="4">
        <f>B54/B53-1</f>
        <v/>
      </c>
      <c r="D54" s="4">
        <f>B54/$B$2-1</f>
        <v/>
      </c>
    </row>
    <row r="55">
      <c r="A55" s="2" t="inlineStr">
        <is>
          <t>2026-08-26</t>
        </is>
      </c>
      <c r="B55" s="3" t="n">
        <v>100000</v>
      </c>
      <c r="C55" s="4">
        <f>B55/B54-1</f>
        <v/>
      </c>
      <c r="D55" s="4">
        <f>B55/$B$2-1</f>
        <v/>
      </c>
    </row>
    <row r="56">
      <c r="A56" s="2" t="inlineStr">
        <is>
          <t>2026-08-27</t>
        </is>
      </c>
      <c r="B56" s="3" t="n">
        <v>100000</v>
      </c>
      <c r="C56" s="4">
        <f>B56/B55-1</f>
        <v/>
      </c>
      <c r="D56" s="4">
        <f>B56/$B$2-1</f>
        <v/>
      </c>
    </row>
    <row r="57">
      <c r="A57" s="2" t="inlineStr">
        <is>
          <t>2026-08-28</t>
        </is>
      </c>
      <c r="B57" s="3" t="n">
        <v>100000</v>
      </c>
      <c r="C57" s="4">
        <f>B57/B56-1</f>
        <v/>
      </c>
      <c r="D57" s="4">
        <f>B57/$B$2-1</f>
        <v/>
      </c>
    </row>
    <row r="58">
      <c r="A58" s="2" t="inlineStr">
        <is>
          <t>2026-08-29</t>
        </is>
      </c>
      <c r="B58" s="3" t="n">
        <v>100000</v>
      </c>
      <c r="C58" s="4">
        <f>B58/B57-1</f>
        <v/>
      </c>
      <c r="D58" s="4">
        <f>B58/$B$2-1</f>
        <v/>
      </c>
    </row>
    <row r="59">
      <c r="A59" s="2" t="inlineStr">
        <is>
          <t>2026-09-01</t>
        </is>
      </c>
      <c r="B59" s="3" t="n">
        <v>100000</v>
      </c>
      <c r="C59" s="4">
        <f>B59/B58-1</f>
        <v/>
      </c>
      <c r="D59" s="4">
        <f>B59/$B$2-1</f>
        <v/>
      </c>
    </row>
    <row r="60">
      <c r="A60" s="2" t="inlineStr">
        <is>
          <t>2026-09-02</t>
        </is>
      </c>
      <c r="B60" s="3" t="n">
        <v>100000</v>
      </c>
      <c r="C60" s="4">
        <f>B60/B59-1</f>
        <v/>
      </c>
      <c r="D60" s="4">
        <f>B60/$B$2-1</f>
        <v/>
      </c>
    </row>
    <row r="61">
      <c r="A61" s="2" t="inlineStr">
        <is>
          <t>2026-09-03</t>
        </is>
      </c>
      <c r="B61" s="3" t="n">
        <v>100000</v>
      </c>
      <c r="C61" s="4">
        <f>B61/B60-1</f>
        <v/>
      </c>
      <c r="D61" s="4">
        <f>B61/$B$2-1</f>
        <v/>
      </c>
    </row>
    <row r="62">
      <c r="A62" s="2" t="inlineStr">
        <is>
          <t>2026-09-04</t>
        </is>
      </c>
      <c r="B62" s="3" t="n">
        <v>100000</v>
      </c>
      <c r="C62" s="4">
        <f>B62/B61-1</f>
        <v/>
      </c>
      <c r="D62" s="4">
        <f>B62/$B$2-1</f>
        <v/>
      </c>
    </row>
    <row r="63">
      <c r="A63" s="2" t="inlineStr">
        <is>
          <t>2026-09-05</t>
        </is>
      </c>
      <c r="B63" s="3" t="n">
        <v>100000</v>
      </c>
      <c r="C63" s="4">
        <f>B63/B62-1</f>
        <v/>
      </c>
      <c r="D63" s="4">
        <f>B63/$B$2-1</f>
        <v/>
      </c>
    </row>
    <row r="64">
      <c r="A64" s="2" t="inlineStr">
        <is>
          <t>2026-09-09</t>
        </is>
      </c>
      <c r="B64" s="3" t="n">
        <v>100000</v>
      </c>
      <c r="C64" s="4">
        <f>B64/B63-1</f>
        <v/>
      </c>
      <c r="D64" s="4">
        <f>B64/$B$2-1</f>
        <v/>
      </c>
    </row>
    <row r="65">
      <c r="A65" s="2" t="inlineStr">
        <is>
          <t>2026-09-10</t>
        </is>
      </c>
      <c r="B65" s="3" t="n">
        <v>100000</v>
      </c>
      <c r="C65" s="4">
        <f>B65/B64-1</f>
        <v/>
      </c>
      <c r="D65" s="4">
        <f>B65/$B$2-1</f>
        <v/>
      </c>
    </row>
    <row r="66">
      <c r="A66" s="2" t="inlineStr">
        <is>
          <t>2026-09-11</t>
        </is>
      </c>
      <c r="B66" s="3" t="n">
        <v>100000</v>
      </c>
      <c r="C66" s="4">
        <f>B66/B65-1</f>
        <v/>
      </c>
      <c r="D66" s="4">
        <f>B66/$B$2-1</f>
        <v/>
      </c>
    </row>
    <row r="67">
      <c r="A67" s="2" t="inlineStr">
        <is>
          <t>2026-09-12</t>
        </is>
      </c>
      <c r="B67" s="3" t="n">
        <v>100000</v>
      </c>
      <c r="C67" s="4">
        <f>B67/B66-1</f>
        <v/>
      </c>
      <c r="D67" s="4">
        <f>B67/$B$2-1</f>
        <v/>
      </c>
    </row>
    <row r="68">
      <c r="A68" s="2" t="inlineStr">
        <is>
          <t>2026-09-15</t>
        </is>
      </c>
      <c r="B68" s="3" t="n">
        <v>100000</v>
      </c>
      <c r="C68" s="4">
        <f>B68/B67-1</f>
        <v/>
      </c>
      <c r="D68" s="4">
        <f>B68/$B$2-1</f>
        <v/>
      </c>
    </row>
    <row r="69">
      <c r="A69" s="2" t="inlineStr">
        <is>
          <t>2026-09-16</t>
        </is>
      </c>
      <c r="B69" s="3" t="n">
        <v>100000</v>
      </c>
      <c r="C69" s="4">
        <f>B69/B68-1</f>
        <v/>
      </c>
      <c r="D69" s="4">
        <f>B69/$B$2-1</f>
        <v/>
      </c>
    </row>
    <row r="70">
      <c r="A70" s="2" t="inlineStr">
        <is>
          <t>2026-09-17</t>
        </is>
      </c>
      <c r="B70" s="3" t="n">
        <v>100000</v>
      </c>
      <c r="C70" s="4">
        <f>B70/B69-1</f>
        <v/>
      </c>
      <c r="D70" s="4">
        <f>B70/$B$2-1</f>
        <v/>
      </c>
    </row>
    <row r="71">
      <c r="A71" s="2" t="inlineStr">
        <is>
          <t>2026-09-18</t>
        </is>
      </c>
      <c r="B71" s="3" t="n">
        <v>100000</v>
      </c>
      <c r="C71" s="4">
        <f>B71/B70-1</f>
        <v/>
      </c>
      <c r="D71" s="4">
        <f>B71/$B$2-1</f>
        <v/>
      </c>
    </row>
    <row r="72">
      <c r="A72" s="2" t="inlineStr">
        <is>
          <t>2026-09-19</t>
        </is>
      </c>
      <c r="B72" s="3" t="n">
        <v>100000</v>
      </c>
      <c r="C72" s="4">
        <f>B72/B71-1</f>
        <v/>
      </c>
      <c r="D72" s="4">
        <f>B72/$B$2-1</f>
        <v/>
      </c>
    </row>
    <row r="73">
      <c r="A73" s="2" t="inlineStr">
        <is>
          <t>2026-09-22</t>
        </is>
      </c>
      <c r="B73" s="3" t="n">
        <v>100000</v>
      </c>
      <c r="C73" s="4">
        <f>B73/B72-1</f>
        <v/>
      </c>
      <c r="D73" s="4">
        <f>B73/$B$2-1</f>
        <v/>
      </c>
    </row>
    <row r="74">
      <c r="A74" s="2" t="inlineStr">
        <is>
          <t>2026-09-23</t>
        </is>
      </c>
      <c r="B74" s="3" t="n">
        <v>100000</v>
      </c>
      <c r="C74" s="4">
        <f>B74/B73-1</f>
        <v/>
      </c>
      <c r="D74" s="4">
        <f>B74/$B$2-1</f>
        <v/>
      </c>
    </row>
    <row r="75">
      <c r="A75" s="2" t="inlineStr">
        <is>
          <t>2026-09-24</t>
        </is>
      </c>
      <c r="B75" s="3" t="n">
        <v>100000</v>
      </c>
      <c r="C75" s="4">
        <f>B75/B74-1</f>
        <v/>
      </c>
      <c r="D75" s="4">
        <f>B75/$B$2-1</f>
        <v/>
      </c>
    </row>
    <row r="76">
      <c r="A76" s="2" t="inlineStr">
        <is>
          <t>2026-09-25</t>
        </is>
      </c>
      <c r="B76" s="3" t="n">
        <v>100000</v>
      </c>
      <c r="C76" s="4">
        <f>B76/B75-1</f>
        <v/>
      </c>
      <c r="D76" s="4">
        <f>B76/$B$2-1</f>
        <v/>
      </c>
    </row>
    <row r="77">
      <c r="A77" s="2" t="inlineStr">
        <is>
          <t>2026-09-26</t>
        </is>
      </c>
      <c r="B77" s="3" t="n">
        <v>100000</v>
      </c>
      <c r="C77" s="4">
        <f>B77/B76-1</f>
        <v/>
      </c>
      <c r="D77" s="4">
        <f>B77/$B$2-1</f>
        <v/>
      </c>
    </row>
    <row r="78">
      <c r="A78" s="2" t="inlineStr">
        <is>
          <t>2026-09-29</t>
        </is>
      </c>
      <c r="B78" s="3" t="n">
        <v>100000</v>
      </c>
      <c r="C78" s="4">
        <f>B78/B77-1</f>
        <v/>
      </c>
      <c r="D78" s="4">
        <f>B78/$B$2-1</f>
        <v/>
      </c>
    </row>
    <row r="79">
      <c r="A79" s="2" t="inlineStr">
        <is>
          <t>2026-09-30</t>
        </is>
      </c>
      <c r="B79" s="3" t="n">
        <v>100000</v>
      </c>
      <c r="C79" s="4">
        <f>B79/B78-1</f>
        <v/>
      </c>
      <c r="D79" s="4">
        <f>B79/$B$2-1</f>
        <v/>
      </c>
    </row>
  </sheetData>
  <autoFilter ref="A1:D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Date</t>
        </is>
      </c>
      <c r="B1" s="1" t="inlineStr">
        <is>
          <t>Type</t>
        </is>
      </c>
      <c r="C1" s="1" t="inlineStr">
        <is>
          <t>Ticker</t>
        </is>
      </c>
      <c r="D1" s="1" t="inlineStr">
        <is>
          <t>Quantity</t>
        </is>
      </c>
      <c r="E1" s="1" t="inlineStr">
        <is>
          <t>Per share ($)</t>
        </is>
      </c>
      <c r="F1" s="1" t="inlineStr">
        <is>
          <t>Amount ($)</t>
        </is>
      </c>
    </row>
  </sheetData>
  <autoFilter ref="A1:F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" t="inlineStr">
        <is>
          <t>Fund position ledger (Protocol 6). Actual Alpaca paper-account trades only: weeks that were not executed, and model-only books, are left out. Rebuilt automatically after each weekly run and each execution/reconciliation; do not edit.</t>
        </is>
      </c>
    </row>
    <row r="2">
      <c r="A2" s="2" t="inlineStr">
        <is>
          <t>Positions: one row per lot: a name held for a week, split where a daily review changed the shares (exit, reduce or increase at that day's close). The book is re-decided every Wednesday and traded at the next session's close (market-on-close).</t>
        </is>
      </c>
    </row>
    <row r="3">
      <c r="A3" s="2" t="inlineStr">
        <is>
          <t>Entry price: the fill if the name traded on the execution day, otherwise that day's official close. Exit price: the next execution day's official close.</t>
        </is>
      </c>
    </row>
    <row r="4">
      <c r="A4" s="2" t="inlineStr">
        <is>
          <t>Status Open: the week has not ended; Return and P&amp;L use the Current price (latest close). Returns are price returns, dividends excluded, before costs.</t>
        </is>
      </c>
    </row>
    <row r="5">
      <c r="A5" s="2" t="inlineStr">
        <is>
          <t>P&amp;L ($): signed shares x (exit or current price - entry). Lot boundaries use the actual Alpaca fill of the order traded there (weekly or daily review), else the official close, so lot P&amp;Ls add up to the account's trading P&amp;L.</t>
        </is>
      </c>
    </row>
    <row r="6">
      <c r="A6" s="2" t="inlineStr">
        <is>
          <t>Cash activity: dividends received on longs and paid on shorts, fees and interest from Alpaca; together with P&amp;L they explain the Account sheet's value.</t>
        </is>
      </c>
    </row>
    <row r="7">
      <c r="A7" s="2" t="inlineStr">
        <is>
          <t>Account sheet: the paper account's daily value from Alpaca, from the first trade on.</t>
        </is>
      </c>
    </row>
    <row r="8">
      <c r="A8" s="2" t="inlineStr">
        <is>
          <t>Confidence: the analyst's confidence (0-1); Red team: uphold or weaken. SPY rows are the beta hedge.</t>
        </is>
      </c>
    </row>
    <row r="9">
      <c r="A9" s="2" t="inlineStr">
        <is>
          <t>Source records: fund-data branch, fund_state/live/&lt;week&gt;/ (book.json, execution.json, analysts.json, redteam.json) and fund_state/live/execution/fills.csv.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2026-09-30T11:04:26Z</dcterms:created>
  <dcterms:modified xmlns:dcterms="http://purl.org/dc/terms/" xmlns:xsi="http://www.w3.org/2001/XMLSchema-instance" xsi:type="dcterms:W3CDTF">2026-09-30T11:04:26Z</dcterms:modified>
</cp:coreProperties>
</file>