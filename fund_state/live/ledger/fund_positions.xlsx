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positions'!$A$1:$J$12</definedName>
    <definedName name="_xlnm._FilterDatabase" localSheetId="2" hidden="1">'Realized trades'!$A$1:$H$65</definedName>
    <definedName name="_xlnm._FilterDatabase" localSheetId="3" hidden="1">'Positions'!$A$1:$Q$90</definedName>
    <definedName name="_xlnm._FilterDatabase" localSheetId="4" hidden="1">'Orders'!$A$1:$O$154</definedName>
    <definedName name="_xlnm._FilterDatabase" localSheetId="5" hidden="1">'Account'!$A$1:$F$20</definedName>
    <definedName name="_xlnm._FilterDatabase" localSheetId="6" hidden="1">'Cash activity'!$A$1:$F$29</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2026-10-28 11:46 ET)</t>
        </is>
      </c>
      <c r="B2" s="3" t="n">
        <v>98776.7426</v>
      </c>
    </row>
    <row r="3">
      <c r="A3" s="2" t="inlineStr">
        <is>
          <t>Net deposits</t>
        </is>
      </c>
      <c r="B3" s="3" t="n">
        <v>100000</v>
      </c>
    </row>
    <row r="4">
      <c r="A4" s="2" t="inlineStr">
        <is>
          <t>Account P&amp;L</t>
        </is>
      </c>
      <c r="B4" s="3">
        <f>B2-B3</f>
        <v/>
      </c>
    </row>
    <row r="5">
      <c r="A5" s="2" t="inlineStr">
        <is>
          <t>Realized P&amp;L (closed shares, FIFO)</t>
        </is>
      </c>
      <c r="B5" s="3" t="n">
        <v>-2471.039999999994</v>
      </c>
    </row>
    <row r="6">
      <c r="A6" s="2" t="inlineStr">
        <is>
          <t>Unrealized P&amp;L (open shares at Alpaca marks)</t>
        </is>
      </c>
      <c r="B6" s="3" t="n">
        <v>1252.532599999998</v>
      </c>
    </row>
    <row r="7">
      <c r="A7" s="2" t="inlineStr">
        <is>
          <t>Dividends, fees &amp; interest</t>
        </is>
      </c>
      <c r="B7" s="3" t="n">
        <v>-4.749999999999998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345.3287</v>
      </c>
      <c r="H2" s="6">
        <f>D2*G2</f>
        <v/>
      </c>
      <c r="I2" s="3">
        <f>D2*(G2-F2)</f>
        <v/>
      </c>
      <c r="J2" s="7">
        <f>IF(D2&gt;0,1,-1)*(G2/F2-1)</f>
        <v/>
      </c>
    </row>
    <row r="3">
      <c r="A3" s="2" t="inlineStr">
        <is>
          <t>CMG</t>
        </is>
      </c>
      <c r="B3" s="2" t="inlineStr">
        <is>
          <t>CMG</t>
        </is>
      </c>
      <c r="C3" s="2" t="inlineStr">
        <is>
          <t>Short</t>
        </is>
      </c>
      <c r="D3" s="4" t="n">
        <v>-86</v>
      </c>
      <c r="E3" s="2" t="inlineStr">
        <is>
          <t>2026-10-22</t>
        </is>
      </c>
      <c r="F3" s="5" t="n">
        <v>28.07</v>
      </c>
      <c r="G3" s="5" t="n">
        <v>29.2</v>
      </c>
      <c r="H3" s="6">
        <f>D3*G3</f>
        <v/>
      </c>
      <c r="I3" s="3">
        <f>D3*(G3-F3)</f>
        <v/>
      </c>
      <c r="J3" s="7">
        <f>IF(D3&gt;0,1,-1)*(G3/F3-1)</f>
        <v/>
      </c>
    </row>
    <row r="4">
      <c r="A4" s="2" t="inlineStr">
        <is>
          <t>CSX</t>
        </is>
      </c>
      <c r="B4" s="2" t="inlineStr">
        <is>
          <t>CSX</t>
        </is>
      </c>
      <c r="C4" s="2" t="inlineStr">
        <is>
          <t>Long</t>
        </is>
      </c>
      <c r="D4" s="4" t="n">
        <v>175</v>
      </c>
      <c r="E4" s="2" t="inlineStr">
        <is>
          <t>2026-10-22</t>
        </is>
      </c>
      <c r="F4" s="5" t="n">
        <v>51.40897142857144</v>
      </c>
      <c r="G4" s="5" t="n">
        <v>52.135</v>
      </c>
      <c r="H4" s="6">
        <f>D4*G4</f>
        <v/>
      </c>
      <c r="I4" s="3">
        <f>D4*(G4-F4)</f>
        <v/>
      </c>
      <c r="J4" s="7">
        <f>IF(D4&gt;0,1,-1)*(G4/F4-1)</f>
        <v/>
      </c>
    </row>
    <row r="5">
      <c r="A5" s="2" t="inlineStr">
        <is>
          <t>HAS</t>
        </is>
      </c>
      <c r="B5" s="2" t="inlineStr">
        <is>
          <t>HAS</t>
        </is>
      </c>
      <c r="C5" s="2" t="inlineStr">
        <is>
          <t>Long</t>
        </is>
      </c>
      <c r="D5" s="4" t="n">
        <v>21</v>
      </c>
      <c r="E5" s="2" t="inlineStr">
        <is>
          <t>2026-10-22</t>
        </is>
      </c>
      <c r="F5" s="5" t="n">
        <v>117.22</v>
      </c>
      <c r="G5" s="5" t="n">
        <v>120.26</v>
      </c>
      <c r="H5" s="6">
        <f>D5*G5</f>
        <v/>
      </c>
      <c r="I5" s="3">
        <f>D5*(G5-F5)</f>
        <v/>
      </c>
      <c r="J5" s="7">
        <f>IF(D5&gt;0,1,-1)*(G5/F5-1)</f>
        <v/>
      </c>
    </row>
    <row r="6">
      <c r="A6" s="2" t="inlineStr">
        <is>
          <t>LRCX</t>
        </is>
      </c>
      <c r="B6" s="2" t="inlineStr">
        <is>
          <t>LRCX</t>
        </is>
      </c>
      <c r="C6" s="2" t="inlineStr">
        <is>
          <t>Short</t>
        </is>
      </c>
      <c r="D6" s="4" t="n">
        <v>-7</v>
      </c>
      <c r="E6" s="2" t="inlineStr">
        <is>
          <t>2026-10-22</t>
        </is>
      </c>
      <c r="F6" s="5" t="n">
        <v>230.03</v>
      </c>
      <c r="G6" s="5" t="n">
        <v>254.68</v>
      </c>
      <c r="H6" s="6">
        <f>D6*G6</f>
        <v/>
      </c>
      <c r="I6" s="3">
        <f>D6*(G6-F6)</f>
        <v/>
      </c>
      <c r="J6" s="7">
        <f>IF(D6&gt;0,1,-1)*(G6/F6-1)</f>
        <v/>
      </c>
    </row>
    <row r="7">
      <c r="A7" s="2" t="inlineStr">
        <is>
          <t>MSFT</t>
        </is>
      </c>
      <c r="B7" s="2" t="inlineStr">
        <is>
          <t>MSFT</t>
        </is>
      </c>
      <c r="C7" s="2" t="inlineStr">
        <is>
          <t>Short</t>
        </is>
      </c>
      <c r="D7" s="4" t="n">
        <v>-5</v>
      </c>
      <c r="E7" s="2" t="inlineStr">
        <is>
          <t>2026-10-22</t>
        </is>
      </c>
      <c r="F7" s="5" t="n">
        <v>520.91</v>
      </c>
      <c r="G7" s="5" t="n">
        <v>527.605</v>
      </c>
      <c r="H7" s="6">
        <f>D7*G7</f>
        <v/>
      </c>
      <c r="I7" s="3">
        <f>D7*(G7-F7)</f>
        <v/>
      </c>
      <c r="J7" s="7">
        <f>IF(D7&gt;0,1,-1)*(G7/F7-1)</f>
        <v/>
      </c>
    </row>
    <row r="8">
      <c r="A8" s="2" t="inlineStr">
        <is>
          <t>NFLX</t>
        </is>
      </c>
      <c r="B8" s="2" t="inlineStr">
        <is>
          <t>NFLX</t>
        </is>
      </c>
      <c r="C8" s="2" t="inlineStr">
        <is>
          <t>Short</t>
        </is>
      </c>
      <c r="D8" s="4" t="n">
        <v>-67</v>
      </c>
      <c r="E8" s="2" t="inlineStr">
        <is>
          <t>2026-10-22</t>
        </is>
      </c>
      <c r="F8" s="5" t="n">
        <v>65.86089552238806</v>
      </c>
      <c r="G8" s="5" t="n">
        <v>61.865</v>
      </c>
      <c r="H8" s="6">
        <f>D8*G8</f>
        <v/>
      </c>
      <c r="I8" s="3">
        <f>D8*(G8-F8)</f>
        <v/>
      </c>
      <c r="J8" s="7">
        <f>IF(D8&gt;0,1,-1)*(G8/F8-1)</f>
        <v/>
      </c>
    </row>
    <row r="9">
      <c r="A9" s="2" t="inlineStr">
        <is>
          <t>ROL</t>
        </is>
      </c>
      <c r="B9" s="2" t="inlineStr">
        <is>
          <t>ROL</t>
        </is>
      </c>
      <c r="C9" s="2" t="inlineStr">
        <is>
          <t>Short</t>
        </is>
      </c>
      <c r="D9" s="4" t="n">
        <v>-283</v>
      </c>
      <c r="E9" s="2" t="inlineStr">
        <is>
          <t>2026-10-22</t>
        </is>
      </c>
      <c r="F9" s="5" t="n">
        <v>35.04272084805654</v>
      </c>
      <c r="G9" s="5" t="n">
        <v>33.5905</v>
      </c>
      <c r="H9" s="6">
        <f>D9*G9</f>
        <v/>
      </c>
      <c r="I9" s="3">
        <f>D9*(G9-F9)</f>
        <v/>
      </c>
      <c r="J9" s="7">
        <f>IF(D9&gt;0,1,-1)*(G9/F9-1)</f>
        <v/>
      </c>
    </row>
    <row r="10">
      <c r="A10" s="2" t="inlineStr">
        <is>
          <t>SMCI</t>
        </is>
      </c>
      <c r="B10" s="2" t="inlineStr">
        <is>
          <t>SMCI</t>
        </is>
      </c>
      <c r="C10" s="2" t="inlineStr">
        <is>
          <t>Long</t>
        </is>
      </c>
      <c r="D10" s="4" t="n">
        <v>266</v>
      </c>
      <c r="E10" s="2" t="inlineStr">
        <is>
          <t>2026-10-22</t>
        </is>
      </c>
      <c r="F10" s="5" t="n">
        <v>33.4584962406015</v>
      </c>
      <c r="G10" s="5" t="n">
        <v>34.8</v>
      </c>
      <c r="H10" s="6">
        <f>D10*G10</f>
        <v/>
      </c>
      <c r="I10" s="3">
        <f>D10*(G10-F10)</f>
        <v/>
      </c>
      <c r="J10" s="7">
        <f>IF(D10&gt;0,1,-1)*(G10/F10-1)</f>
        <v/>
      </c>
    </row>
    <row r="11">
      <c r="A11" s="2" t="inlineStr">
        <is>
          <t>SPY</t>
        </is>
      </c>
      <c r="B11" s="2" t="inlineStr">
        <is>
          <t>SPDR S&amp;P 500 ETF</t>
        </is>
      </c>
      <c r="C11" s="2" t="inlineStr">
        <is>
          <t>Short</t>
        </is>
      </c>
      <c r="D11" s="4" t="n">
        <v>-37</v>
      </c>
      <c r="E11" s="2" t="inlineStr">
        <is>
          <t>2026-10-21</t>
        </is>
      </c>
      <c r="F11" s="5" t="n">
        <v>765.3002702702703</v>
      </c>
      <c r="G11" s="5" t="n">
        <v>771.63</v>
      </c>
      <c r="H11" s="6">
        <f>D11*G11</f>
        <v/>
      </c>
      <c r="I11" s="3">
        <f>D11*(G11-F11)</f>
        <v/>
      </c>
      <c r="J11" s="7">
        <f>IF(D11&gt;0,1,-1)*(G11/F11-1)</f>
        <v/>
      </c>
    </row>
    <row r="12">
      <c r="A12" s="2" t="inlineStr">
        <is>
          <t>TSLA</t>
        </is>
      </c>
      <c r="B12" s="2" t="inlineStr">
        <is>
          <t>TSLA</t>
        </is>
      </c>
      <c r="C12" s="2" t="inlineStr">
        <is>
          <t>Long</t>
        </is>
      </c>
      <c r="D12" s="4" t="n">
        <v>20</v>
      </c>
      <c r="E12" s="2" t="inlineStr">
        <is>
          <t>2026-10-22</t>
        </is>
      </c>
      <c r="F12" s="5" t="n">
        <v>374.146</v>
      </c>
      <c r="G12" s="5" t="n">
        <v>401.32</v>
      </c>
      <c r="H12" s="6">
        <f>D12*G12</f>
        <v/>
      </c>
      <c r="I12" s="3">
        <f>D12*(G12-F12)</f>
        <v/>
      </c>
      <c r="J12" s="7">
        <f>IF(D12&gt;0,1,-1)*(G12/F12-1)</f>
        <v/>
      </c>
    </row>
  </sheetData>
  <autoFilter ref="A1:J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row r="56">
      <c r="A56" s="2" t="inlineStr">
        <is>
          <t>2026-10-26</t>
        </is>
      </c>
      <c r="B56" s="2" t="inlineStr">
        <is>
          <t>LRCX</t>
        </is>
      </c>
      <c r="C56" s="2" t="inlineStr">
        <is>
          <t>LRCX</t>
        </is>
      </c>
      <c r="D56" s="2" t="inlineStr">
        <is>
          <t>Short</t>
        </is>
      </c>
      <c r="E56" s="4" t="n">
        <v>-6</v>
      </c>
      <c r="F56" s="5" t="n">
        <v>230.03</v>
      </c>
      <c r="G56" s="5" t="n">
        <v>237.2916666666667</v>
      </c>
      <c r="H56" s="3">
        <f>E56*(G56-F56)</f>
        <v/>
      </c>
    </row>
    <row r="57">
      <c r="A57" s="2" t="inlineStr">
        <is>
          <t>2026-10-26</t>
        </is>
      </c>
      <c r="B57" s="2" t="inlineStr">
        <is>
          <t>SMCI</t>
        </is>
      </c>
      <c r="C57" s="2" t="inlineStr">
        <is>
          <t>SMCI</t>
        </is>
      </c>
      <c r="D57" s="2" t="inlineStr">
        <is>
          <t>Long</t>
        </is>
      </c>
      <c r="E57" s="4" t="n">
        <v>1</v>
      </c>
      <c r="F57" s="5" t="n">
        <v>33.72</v>
      </c>
      <c r="G57" s="5" t="n">
        <v>32.69</v>
      </c>
      <c r="H57" s="3">
        <f>E57*(G57-F57)</f>
        <v/>
      </c>
    </row>
    <row r="58">
      <c r="A58" s="2" t="inlineStr">
        <is>
          <t>2026-10-27</t>
        </is>
      </c>
      <c r="B58" s="2" t="inlineStr">
        <is>
          <t>AVGO</t>
        </is>
      </c>
      <c r="C58" s="2" t="inlineStr">
        <is>
          <t>AVGO</t>
        </is>
      </c>
      <c r="D58" s="2" t="inlineStr">
        <is>
          <t>Short</t>
        </is>
      </c>
      <c r="E58" s="4" t="n">
        <v>-7</v>
      </c>
      <c r="F58" s="5" t="n">
        <v>323.3714285714286</v>
      </c>
      <c r="G58" s="5" t="n">
        <v>342.4428571428571</v>
      </c>
      <c r="H58" s="3">
        <f>E58*(G58-F58)</f>
        <v/>
      </c>
    </row>
    <row r="59">
      <c r="A59" s="2" t="inlineStr">
        <is>
          <t>2026-10-27</t>
        </is>
      </c>
      <c r="B59" s="2" t="inlineStr">
        <is>
          <t>BA</t>
        </is>
      </c>
      <c r="C59" s="2" t="inlineStr">
        <is>
          <t>BA</t>
        </is>
      </c>
      <c r="D59" s="2" t="inlineStr">
        <is>
          <t>Long</t>
        </is>
      </c>
      <c r="E59" s="4" t="n">
        <v>13</v>
      </c>
      <c r="F59" s="5" t="n">
        <v>187.4653846153846</v>
      </c>
      <c r="G59" s="5" t="n">
        <v>168.09</v>
      </c>
      <c r="H59" s="3">
        <f>E59*(G59-F59)</f>
        <v/>
      </c>
    </row>
    <row r="60">
      <c r="A60" s="2" t="inlineStr">
        <is>
          <t>2026-10-27</t>
        </is>
      </c>
      <c r="B60" s="2" t="inlineStr">
        <is>
          <t>CRM</t>
        </is>
      </c>
      <c r="C60" s="2" t="inlineStr">
        <is>
          <t>CRM</t>
        </is>
      </c>
      <c r="D60" s="2" t="inlineStr">
        <is>
          <t>Short</t>
        </is>
      </c>
      <c r="E60" s="4" t="n">
        <v>-18</v>
      </c>
      <c r="F60" s="5" t="n">
        <v>249.8388888888889</v>
      </c>
      <c r="G60" s="5" t="n">
        <v>240.8416666666666</v>
      </c>
      <c r="H60" s="3">
        <f>E60*(G60-F60)</f>
        <v/>
      </c>
    </row>
    <row r="61">
      <c r="A61" s="2" t="inlineStr">
        <is>
          <t>2026-10-27</t>
        </is>
      </c>
      <c r="B61" s="2" t="inlineStr">
        <is>
          <t>MMM</t>
        </is>
      </c>
      <c r="C61" s="2" t="inlineStr">
        <is>
          <t>MMM</t>
        </is>
      </c>
      <c r="D61" s="2" t="inlineStr">
        <is>
          <t>Long</t>
        </is>
      </c>
      <c r="E61" s="4" t="n">
        <v>15</v>
      </c>
      <c r="F61" s="5" t="n">
        <v>175.868</v>
      </c>
      <c r="G61" s="5" t="n">
        <v>171.6473333333333</v>
      </c>
      <c r="H61" s="3">
        <f>E61*(G61-F61)</f>
        <v/>
      </c>
    </row>
    <row r="62">
      <c r="A62" s="2" t="inlineStr">
        <is>
          <t>2026-10-27</t>
        </is>
      </c>
      <c r="B62" s="2" t="inlineStr">
        <is>
          <t>MRVL</t>
        </is>
      </c>
      <c r="C62" s="2" t="inlineStr">
        <is>
          <t>MRVL</t>
        </is>
      </c>
      <c r="D62" s="2" t="inlineStr">
        <is>
          <t>Long</t>
        </is>
      </c>
      <c r="E62" s="4" t="n">
        <v>35</v>
      </c>
      <c r="F62" s="5" t="n">
        <v>262.5911428571428</v>
      </c>
      <c r="G62" s="5" t="n">
        <v>243.8202857142857</v>
      </c>
      <c r="H62" s="3">
        <f>E62*(G62-F62)</f>
        <v/>
      </c>
    </row>
    <row r="63">
      <c r="A63" s="2" t="inlineStr">
        <is>
          <t>2026-10-27</t>
        </is>
      </c>
      <c r="B63" s="2" t="inlineStr">
        <is>
          <t>WMT</t>
        </is>
      </c>
      <c r="C63" s="2" t="inlineStr">
        <is>
          <t>WMT</t>
        </is>
      </c>
      <c r="D63" s="2" t="inlineStr">
        <is>
          <t>Long</t>
        </is>
      </c>
      <c r="E63" s="4" t="n">
        <v>24</v>
      </c>
      <c r="F63" s="5" t="n">
        <v>121.07</v>
      </c>
      <c r="G63" s="5" t="n">
        <v>119.28</v>
      </c>
      <c r="H63" s="3">
        <f>E63*(G63-F63)</f>
        <v/>
      </c>
    </row>
    <row r="64">
      <c r="A64" s="2" t="inlineStr">
        <is>
          <t>2026-10-27</t>
        </is>
      </c>
      <c r="B64" s="2" t="inlineStr">
        <is>
          <t>NKE</t>
        </is>
      </c>
      <c r="C64" s="2" t="inlineStr">
        <is>
          <t>NKE</t>
        </is>
      </c>
      <c r="D64" s="2" t="inlineStr">
        <is>
          <t>Short</t>
        </is>
      </c>
      <c r="E64" s="4" t="n">
        <v>-256</v>
      </c>
      <c r="F64" s="5" t="n">
        <v>35.4966796875</v>
      </c>
      <c r="G64" s="5" t="n">
        <v>37.56999999999999</v>
      </c>
      <c r="H64" s="3">
        <f>E64*(G64-F64)</f>
        <v/>
      </c>
    </row>
    <row r="65">
      <c r="A65" s="2" t="inlineStr">
        <is>
          <t>2026-10-27</t>
        </is>
      </c>
      <c r="B65" s="2" t="inlineStr">
        <is>
          <t>XOM</t>
        </is>
      </c>
      <c r="C65" s="2" t="inlineStr">
        <is>
          <t>XOM</t>
        </is>
      </c>
      <c r="D65" s="2" t="inlineStr">
        <is>
          <t>Long</t>
        </is>
      </c>
      <c r="E65" s="4" t="n">
        <v>14</v>
      </c>
      <c r="F65" s="5" t="n">
        <v>177.92</v>
      </c>
      <c r="G65" s="5" t="n">
        <v>179.8371428571429</v>
      </c>
      <c r="H65" s="3">
        <f>E65*(G65-F65)</f>
        <v/>
      </c>
    </row>
  </sheetData>
  <autoFilter ref="A1:H6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771.6</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884.83</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972.265</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972.265</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61.865</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544.16</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105.375</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130.62</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771.6</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771.6</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771.6</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771.6</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567.21</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567.21</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346.32</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346.32</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346.32</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167.43</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258.085</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323.89</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60.795</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900.47</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1294.27</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249.825</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217.71</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217.71</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544.16</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105.375</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252.3</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613.95</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37.32</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132.48</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132.48</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1382.13</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1382.13</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678.585</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393.87</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346.32</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167.43</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544.16</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258.085</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323.89</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901.37</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1294.45</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105.375</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252.29</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614.0700000000001</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132.48</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1382.13</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771.59</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678.15</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393.64</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34.795</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315.63</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527.58</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61.865</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217.695</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74.92</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130.33</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401.45</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567.21</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50.935</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240.82</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80.75</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60.81</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339.55</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23.845</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173.525</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567.21</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614.0700000000001</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Closed</t>
        </is>
      </c>
      <c r="G72" s="2" t="inlineStr">
        <is>
          <t>2026-10-22</t>
        </is>
      </c>
      <c r="H72" s="2" t="inlineStr">
        <is>
          <t>2026-10-27</t>
        </is>
      </c>
      <c r="I72" s="4" t="n">
        <v>-7</v>
      </c>
      <c r="J72" s="5" t="n">
        <v>323.371428</v>
      </c>
      <c r="K72" s="5" t="n">
        <v>342.442857</v>
      </c>
      <c r="L72" s="5" t="n">
        <v>346.32</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Closed</t>
        </is>
      </c>
      <c r="G73" s="2" t="inlineStr">
        <is>
          <t>2026-10-22</t>
        </is>
      </c>
      <c r="H73" s="2" t="inlineStr">
        <is>
          <t>2026-10-27</t>
        </is>
      </c>
      <c r="I73" s="4" t="n">
        <v>13</v>
      </c>
      <c r="J73" s="5" t="n">
        <v>187.465385</v>
      </c>
      <c r="K73" s="5" t="n">
        <v>168.09</v>
      </c>
      <c r="L73" s="5" t="n">
        <v>167.43</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2026-10-21</t>
        </is>
      </c>
      <c r="B74" s="2" t="inlineStr">
        <is>
          <t>CRM</t>
        </is>
      </c>
      <c r="C74" s="2" t="inlineStr">
        <is>
          <t>CRM</t>
        </is>
      </c>
      <c r="D74" s="2" t="inlineStr">
        <is>
          <t>position (lifecycle)</t>
        </is>
      </c>
      <c r="E74" s="2" t="inlineStr">
        <is>
          <t>Short</t>
        </is>
      </c>
      <c r="F74" s="2" t="inlineStr">
        <is>
          <t>Closed</t>
        </is>
      </c>
      <c r="G74" s="2" t="inlineStr">
        <is>
          <t>2026-10-22</t>
        </is>
      </c>
      <c r="H74" s="2" t="inlineStr">
        <is>
          <t>2026-10-27</t>
        </is>
      </c>
      <c r="I74" s="4" t="n">
        <v>-18</v>
      </c>
      <c r="J74" s="5" t="n">
        <v>249.838889</v>
      </c>
      <c r="K74" s="5" t="n">
        <v>240.841667</v>
      </c>
      <c r="L74" s="5" t="n">
        <v>240.82</v>
      </c>
      <c r="M74" s="7">
        <f>IFERROR(IF(E74="Short",-1,1)*(IF(K74&lt;&gt;"",K74,L74)/J74-1),"")</f>
        <v/>
      </c>
      <c r="N74" s="6">
        <f>IFERROR(I74*(IF(K74&lt;&gt;"",K74,L74)-J74),"")</f>
        <v/>
      </c>
      <c r="O74" s="8" t="n">
        <v>0.6</v>
      </c>
      <c r="P74" s="2" t="n"/>
      <c r="Q7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5">
      <c r="A75" s="2" t="inlineStr">
        <is>
          <t>2026-10-21</t>
        </is>
      </c>
      <c r="B75" s="2" t="inlineStr">
        <is>
          <t>MMM</t>
        </is>
      </c>
      <c r="C75" s="2" t="inlineStr">
        <is>
          <t>MMM</t>
        </is>
      </c>
      <c r="D75" s="2" t="inlineStr">
        <is>
          <t>position (lifecycle)</t>
        </is>
      </c>
      <c r="E75" s="2" t="inlineStr">
        <is>
          <t>Long</t>
        </is>
      </c>
      <c r="F75" s="2" t="inlineStr">
        <is>
          <t>Closed</t>
        </is>
      </c>
      <c r="G75" s="2" t="inlineStr">
        <is>
          <t>2026-10-22</t>
        </is>
      </c>
      <c r="H75" s="2" t="inlineStr">
        <is>
          <t>2026-10-27</t>
        </is>
      </c>
      <c r="I75" s="4" t="n">
        <v>15</v>
      </c>
      <c r="J75" s="5" t="n">
        <v>175.868</v>
      </c>
      <c r="K75" s="5" t="n">
        <v>171.647334</v>
      </c>
      <c r="L75" s="5" t="n">
        <v>172.185</v>
      </c>
      <c r="M75" s="7">
        <f>IFERROR(IF(E75="Short",-1,1)*(IF(K75&lt;&gt;"",K75,L75)/J75-1),"")</f>
        <v/>
      </c>
      <c r="N75" s="6">
        <f>IFERROR(I75*(IF(K75&lt;&gt;"",K75,L75)-J75),"")</f>
        <v/>
      </c>
      <c r="O75" s="8" t="n">
        <v>0.6</v>
      </c>
      <c r="P75" s="2" t="n"/>
      <c r="Q75"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76">
      <c r="A76" s="2" t="inlineStr">
        <is>
          <t>2026-10-07</t>
        </is>
      </c>
      <c r="B76" s="2" t="inlineStr">
        <is>
          <t>MRVL</t>
        </is>
      </c>
      <c r="C76" s="2" t="inlineStr">
        <is>
          <t>MRVL</t>
        </is>
      </c>
      <c r="D76" s="2" t="inlineStr">
        <is>
          <t>position (lifecycle)</t>
        </is>
      </c>
      <c r="E76" s="2" t="inlineStr">
        <is>
          <t>Long</t>
        </is>
      </c>
      <c r="F76" s="2" t="inlineStr">
        <is>
          <t>Closed</t>
        </is>
      </c>
      <c r="G76" s="2" t="inlineStr">
        <is>
          <t>2026-10-15</t>
        </is>
      </c>
      <c r="H76" s="2" t="inlineStr">
        <is>
          <t>2026-10-27</t>
        </is>
      </c>
      <c r="I76" s="4" t="n">
        <v>35</v>
      </c>
      <c r="J76" s="5" t="n">
        <v>242.5640032958985</v>
      </c>
      <c r="K76" s="5" t="n">
        <v>243.820286</v>
      </c>
      <c r="L76" s="5" t="n">
        <v>249.825</v>
      </c>
      <c r="M76" s="7">
        <f>IFERROR(IF(E76="Short",-1,1)*(IF(K76&lt;&gt;"",K76,L76)/J76-1),"")</f>
        <v/>
      </c>
      <c r="N76" s="6">
        <f>IFERROR(I76*(IF(K76&lt;&gt;"",K76,L76)-J76),"")</f>
        <v/>
      </c>
      <c r="O76" s="8" t="n">
        <v>0.68</v>
      </c>
      <c r="P76" s="2" t="n"/>
      <c r="Q7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7">
      <c r="A77" s="2" t="inlineStr">
        <is>
          <t>2026-10-07</t>
        </is>
      </c>
      <c r="B77" s="2" t="inlineStr">
        <is>
          <t>NKE</t>
        </is>
      </c>
      <c r="C77" s="2" t="inlineStr">
        <is>
          <t>NKE</t>
        </is>
      </c>
      <c r="D77" s="2" t="inlineStr">
        <is>
          <t>position (lifecycle)</t>
        </is>
      </c>
      <c r="E77" s="2" t="inlineStr">
        <is>
          <t>Short</t>
        </is>
      </c>
      <c r="F77" s="2" t="inlineStr">
        <is>
          <t>Closed</t>
        </is>
      </c>
      <c r="G77" s="2" t="inlineStr">
        <is>
          <t>2026-10-15</t>
        </is>
      </c>
      <c r="H77" s="2" t="inlineStr">
        <is>
          <t>2026-10-27</t>
        </is>
      </c>
      <c r="I77" s="4" t="n">
        <v>-256</v>
      </c>
      <c r="J77" s="5" t="n">
        <v>37.23433549165726</v>
      </c>
      <c r="K77" s="5" t="n">
        <v>37.57</v>
      </c>
      <c r="L77" s="5" t="n">
        <v>37.32</v>
      </c>
      <c r="M77" s="7">
        <f>IFERROR(IF(E77="Short",-1,1)*(IF(K77&lt;&gt;"",K77,L77)/J77-1),"")</f>
        <v/>
      </c>
      <c r="N77" s="6">
        <f>IFERROR(I77*(IF(K77&lt;&gt;"",K77,L77)-J77),"")</f>
        <v/>
      </c>
      <c r="O77" s="8" t="n">
        <v>0.65</v>
      </c>
      <c r="P77" s="2" t="n"/>
      <c r="Q7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8">
      <c r="A78" s="2" t="inlineStr">
        <is>
          <t>2026-10-21</t>
        </is>
      </c>
      <c r="B78" s="2" t="inlineStr">
        <is>
          <t>WMT</t>
        </is>
      </c>
      <c r="C78" s="2" t="inlineStr">
        <is>
          <t>WMT</t>
        </is>
      </c>
      <c r="D78" s="2" t="inlineStr">
        <is>
          <t>position (lifecycle)</t>
        </is>
      </c>
      <c r="E78" s="2" t="inlineStr">
        <is>
          <t>Long</t>
        </is>
      </c>
      <c r="F78" s="2" t="inlineStr">
        <is>
          <t>Closed</t>
        </is>
      </c>
      <c r="G78" s="2" t="inlineStr">
        <is>
          <t>2026-10-22</t>
        </is>
      </c>
      <c r="H78" s="2" t="inlineStr">
        <is>
          <t>2026-10-27</t>
        </is>
      </c>
      <c r="I78" s="4" t="n">
        <v>24</v>
      </c>
      <c r="J78" s="5" t="n">
        <v>121.07</v>
      </c>
      <c r="K78" s="5" t="n">
        <v>119.28</v>
      </c>
      <c r="L78" s="5" t="n">
        <v>118.65</v>
      </c>
      <c r="M78" s="7">
        <f>IFERROR(IF(E78="Short",-1,1)*(IF(K78&lt;&gt;"",K78,L78)/J78-1),"")</f>
        <v/>
      </c>
      <c r="N78" s="6">
        <f>IFERROR(I78*(IF(K78&lt;&gt;"",K78,L78)-J78),"")</f>
        <v/>
      </c>
      <c r="O78" s="8" t="n">
        <v>0.65</v>
      </c>
      <c r="P78" s="2" t="n"/>
      <c r="Q78"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79">
      <c r="A79" s="2" t="inlineStr">
        <is>
          <t>2026-10-21</t>
        </is>
      </c>
      <c r="B79" s="2" t="inlineStr">
        <is>
          <t>XOM</t>
        </is>
      </c>
      <c r="C79" s="2" t="inlineStr">
        <is>
          <t>XOM</t>
        </is>
      </c>
      <c r="D79" s="2" t="inlineStr">
        <is>
          <t>position (lifecycle)</t>
        </is>
      </c>
      <c r="E79" s="2" t="inlineStr">
        <is>
          <t>Long</t>
        </is>
      </c>
      <c r="F79" s="2" t="inlineStr">
        <is>
          <t>Closed</t>
        </is>
      </c>
      <c r="G79" s="2" t="inlineStr">
        <is>
          <t>2026-10-22</t>
        </is>
      </c>
      <c r="H79" s="2" t="inlineStr">
        <is>
          <t>2026-10-27</t>
        </is>
      </c>
      <c r="I79" s="4" t="n">
        <v>14</v>
      </c>
      <c r="J79" s="5" t="n">
        <v>177.92</v>
      </c>
      <c r="K79" s="5" t="n">
        <v>179.837143</v>
      </c>
      <c r="L79" s="5" t="n">
        <v>183.04</v>
      </c>
      <c r="M79" s="7">
        <f>IFERROR(IF(E79="Short",-1,1)*(IF(K79&lt;&gt;"",K79,L79)/J79-1),"")</f>
        <v/>
      </c>
      <c r="N79" s="6">
        <f>IFERROR(I79*(IF(K79&lt;&gt;"",K79,L79)-J79),"")</f>
        <v/>
      </c>
      <c r="O79" s="8" t="n">
        <v>0.55</v>
      </c>
      <c r="P79" s="2" t="n"/>
      <c r="Q79"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row r="80">
      <c r="A80" s="2" t="inlineStr">
        <is>
          <t>2026-10-14</t>
        </is>
      </c>
      <c r="B80" s="2" t="inlineStr">
        <is>
          <t>SPY</t>
        </is>
      </c>
      <c r="C80" s="2" t="inlineStr">
        <is>
          <t>SPDR S&amp;P 500 ETF</t>
        </is>
      </c>
      <c r="D80" s="2" t="inlineStr">
        <is>
          <t>beta hedge</t>
        </is>
      </c>
      <c r="E80" s="2" t="inlineStr">
        <is>
          <t>Short</t>
        </is>
      </c>
      <c r="F80" s="2" t="inlineStr">
        <is>
          <t>Open</t>
        </is>
      </c>
      <c r="G80" s="2" t="inlineStr">
        <is>
          <t>2026-10-21</t>
        </is>
      </c>
      <c r="H80" s="2" t="inlineStr"/>
      <c r="I80" s="4" t="n">
        <v>-37</v>
      </c>
      <c r="J80" s="5" t="n">
        <v>765.300270054054</v>
      </c>
      <c r="K80" s="5" t="n"/>
      <c r="L80" s="5" t="n">
        <v>771.59</v>
      </c>
      <c r="M80" s="7">
        <f>IFERROR(IF(E80="Short",-1,1)*(IF(K80&lt;&gt;"",K80,L80)/J80-1),"")</f>
        <v/>
      </c>
      <c r="N80" s="6">
        <f>IFERROR(I80*(IF(K80&lt;&gt;"",K80,L80)-J80),"")</f>
        <v/>
      </c>
      <c r="O80" s="8" t="n"/>
      <c r="P80" s="2" t="n"/>
      <c r="Q80" s="9" t="inlineStr">
        <is>
          <t>SPY hedge to zero beta</t>
        </is>
      </c>
    </row>
    <row r="81">
      <c r="A81" s="2" t="inlineStr">
        <is>
          <t>2026-10-21</t>
        </is>
      </c>
      <c r="B81" s="2" t="inlineStr">
        <is>
          <t>MSFT</t>
        </is>
      </c>
      <c r="C81" s="2" t="inlineStr">
        <is>
          <t>MSFT</t>
        </is>
      </c>
      <c r="D81" s="2" t="inlineStr">
        <is>
          <t>position (lifecycle)</t>
        </is>
      </c>
      <c r="E81" s="2" t="inlineStr">
        <is>
          <t>Short</t>
        </is>
      </c>
      <c r="F81" s="2" t="inlineStr">
        <is>
          <t>Open</t>
        </is>
      </c>
      <c r="G81" s="2" t="inlineStr">
        <is>
          <t>2026-10-22</t>
        </is>
      </c>
      <c r="H81" s="2" t="inlineStr"/>
      <c r="I81" s="4" t="n">
        <v>-5</v>
      </c>
      <c r="J81" s="5" t="n">
        <v>520.91</v>
      </c>
      <c r="K81" s="5" t="n"/>
      <c r="L81" s="5" t="n">
        <v>527.58</v>
      </c>
      <c r="M81" s="7">
        <f>IFERROR(IF(E81="Short",-1,1)*(IF(K81&lt;&gt;"",K81,L81)/J81-1),"")</f>
        <v/>
      </c>
      <c r="N81" s="6">
        <f>IFERROR(I81*(IF(K81&lt;&gt;"",K81,L81)-J81),"")</f>
        <v/>
      </c>
      <c r="O81" s="8" t="n">
        <v>0.55</v>
      </c>
      <c r="P81" s="2" t="n"/>
      <c r="Q81" s="9" t="inlineStr">
        <is>
          <t>Rising AI capex/debt concerns and MSFT's UK data center exit weigh on sentiment, while bullish earnings previews are already priced near 52-week high. Expect slight underperformance into Oct 28 earnings, with binary event limiting conviction. | horizon 5 days; exit if: Microsoft beats Q1 estimates and raises FY2027 guidance; Microsoft reaffirms or re-enters the UK Nscale data center deal; CoreWeave secures new financing, easing AI capex debt fears</t>
        </is>
      </c>
    </row>
    <row r="82">
      <c r="A82" s="2" t="inlineStr">
        <is>
          <t>2026-10-21</t>
        </is>
      </c>
      <c r="B82" s="2" t="inlineStr">
        <is>
          <t>NFLX</t>
        </is>
      </c>
      <c r="C82" s="2" t="inlineStr">
        <is>
          <t>NFLX</t>
        </is>
      </c>
      <c r="D82" s="2" t="inlineStr">
        <is>
          <t>position (lifecycle)</t>
        </is>
      </c>
      <c r="E82" s="2" t="inlineStr">
        <is>
          <t>Short</t>
        </is>
      </c>
      <c r="F82" s="2" t="inlineStr">
        <is>
          <t>Open</t>
        </is>
      </c>
      <c r="G82" s="2" t="inlineStr">
        <is>
          <t>2026-10-22</t>
        </is>
      </c>
      <c r="H82" s="2" t="inlineStr"/>
      <c r="I82" s="4" t="n">
        <v>-67</v>
      </c>
      <c r="J82" s="5" t="n">
        <v>65.86089552238806</v>
      </c>
      <c r="K82" s="5" t="n"/>
      <c r="L82" s="5" t="n">
        <v>61.865</v>
      </c>
      <c r="M82" s="7">
        <f>IFERROR(IF(E82="Short",-1,1)*(IF(K82&lt;&gt;"",K82,L82)/J82-1),"")</f>
        <v/>
      </c>
      <c r="N82" s="6">
        <f>IFERROR(I82*(IF(K82&lt;&gt;"",K82,L82)-J82),"")</f>
        <v/>
      </c>
      <c r="O82" s="8" t="n">
        <v>0.58</v>
      </c>
      <c r="P82" s="2" t="n"/>
      <c r="Q82"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3">
      <c r="A83" s="2" t="inlineStr">
        <is>
          <t>2026-10-21</t>
        </is>
      </c>
      <c r="B83" s="2" t="inlineStr">
        <is>
          <t>SMCI</t>
        </is>
      </c>
      <c r="C83" s="2" t="inlineStr">
        <is>
          <t>SMCI</t>
        </is>
      </c>
      <c r="D83" s="2" t="inlineStr">
        <is>
          <t>position (lifecycle)</t>
        </is>
      </c>
      <c r="E83" s="2" t="inlineStr">
        <is>
          <t>Long</t>
        </is>
      </c>
      <c r="F83" s="2" t="inlineStr">
        <is>
          <t>Open</t>
        </is>
      </c>
      <c r="G83" s="2" t="inlineStr">
        <is>
          <t>2026-10-22</t>
        </is>
      </c>
      <c r="H83" s="2" t="inlineStr"/>
      <c r="I83" s="4" t="n">
        <v>266</v>
      </c>
      <c r="J83" s="5" t="n">
        <v>33.45947565543072</v>
      </c>
      <c r="K83" s="5" t="n"/>
      <c r="L83" s="5" t="n">
        <v>34.795</v>
      </c>
      <c r="M83" s="7">
        <f>IFERROR(IF(E83="Short",-1,1)*(IF(K83&lt;&gt;"",K83,L83)/J83-1),"")</f>
        <v/>
      </c>
      <c r="N83" s="6">
        <f>IFERROR(I83*(IF(K83&lt;&gt;"",K83,L83)-J83),"")</f>
        <v/>
      </c>
      <c r="O83" s="8" t="n">
        <v>0.65</v>
      </c>
      <c r="P83" s="2" t="n"/>
      <c r="Q83"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84">
      <c r="A84" s="2" t="inlineStr">
        <is>
          <t>2026-10-21</t>
        </is>
      </c>
      <c r="B84" s="2" t="inlineStr">
        <is>
          <t>TSLA</t>
        </is>
      </c>
      <c r="C84" s="2" t="inlineStr">
        <is>
          <t>TSLA</t>
        </is>
      </c>
      <c r="D84" s="2" t="inlineStr">
        <is>
          <t>position (lifecycle)</t>
        </is>
      </c>
      <c r="E84" s="2" t="inlineStr">
        <is>
          <t>Long</t>
        </is>
      </c>
      <c r="F84" s="2" t="inlineStr">
        <is>
          <t>Open</t>
        </is>
      </c>
      <c r="G84" s="2" t="inlineStr">
        <is>
          <t>2026-10-22</t>
        </is>
      </c>
      <c r="H84" s="2" t="inlineStr"/>
      <c r="I84" s="4" t="n">
        <v>20</v>
      </c>
      <c r="J84" s="5" t="n">
        <v>374.1460002</v>
      </c>
      <c r="K84" s="5" t="n"/>
      <c r="L84" s="5" t="n">
        <v>401.45</v>
      </c>
      <c r="M84" s="7">
        <f>IFERROR(IF(E84="Short",-1,1)*(IF(K84&lt;&gt;"",K84,L84)/J84-1),"")</f>
        <v/>
      </c>
      <c r="N84" s="6">
        <f>IFERROR(I84*(IF(K84&lt;&gt;"",K84,L84)-J84),"")</f>
        <v/>
      </c>
      <c r="O84" s="8" t="n">
        <v>0.55</v>
      </c>
      <c r="P84" s="2" t="n"/>
      <c r="Q84"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5">
      <c r="A85" s="2" t="inlineStr">
        <is>
          <t>2026-10-21</t>
        </is>
      </c>
      <c r="B85" s="2" t="inlineStr">
        <is>
          <t>AAPL</t>
        </is>
      </c>
      <c r="C85" s="2" t="inlineStr">
        <is>
          <t>AAPL</t>
        </is>
      </c>
      <c r="D85" s="2" t="inlineStr">
        <is>
          <t>position (lifecycle)</t>
        </is>
      </c>
      <c r="E85" s="2" t="inlineStr">
        <is>
          <t>Short</t>
        </is>
      </c>
      <c r="F85" s="2" t="inlineStr">
        <is>
          <t>Open</t>
        </is>
      </c>
      <c r="G85" s="2" t="inlineStr">
        <is>
          <t>2026-10-22</t>
        </is>
      </c>
      <c r="H85" s="2" t="inlineStr"/>
      <c r="I85" s="4" t="n">
        <v>-7</v>
      </c>
      <c r="J85" s="5" t="n">
        <v>348.188571</v>
      </c>
      <c r="K85" s="5" t="n"/>
      <c r="L85" s="5" t="n">
        <v>345.33</v>
      </c>
      <c r="M85" s="7">
        <f>IFERROR(IF(E85="Short",-1,1)*(IF(K85&lt;&gt;"",K85,L85)/J85-1),"")</f>
        <v/>
      </c>
      <c r="N85" s="6">
        <f>IFERROR(I85*(IF(K85&lt;&gt;"",K85,L85)-J85),"")</f>
        <v/>
      </c>
      <c r="O85" s="8" t="n">
        <v>0.5</v>
      </c>
      <c r="P85" s="2" t="n"/>
      <c r="Q85"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86">
      <c r="A86" s="2" t="inlineStr">
        <is>
          <t>2026-10-21</t>
        </is>
      </c>
      <c r="B86" s="2" t="inlineStr">
        <is>
          <t>CMG</t>
        </is>
      </c>
      <c r="C86" s="2" t="inlineStr">
        <is>
          <t>CMG</t>
        </is>
      </c>
      <c r="D86" s="2" t="inlineStr">
        <is>
          <t>position (lifecycle)</t>
        </is>
      </c>
      <c r="E86" s="2" t="inlineStr">
        <is>
          <t>Short</t>
        </is>
      </c>
      <c r="F86" s="2" t="inlineStr">
        <is>
          <t>Open</t>
        </is>
      </c>
      <c r="G86" s="2" t="inlineStr">
        <is>
          <t>2026-10-22</t>
        </is>
      </c>
      <c r="H86" s="2" t="inlineStr"/>
      <c r="I86" s="4" t="n">
        <v>-86</v>
      </c>
      <c r="J86" s="5" t="n">
        <v>28.07</v>
      </c>
      <c r="K86" s="5" t="n"/>
      <c r="L86" s="5" t="n">
        <v>29.2</v>
      </c>
      <c r="M86" s="7">
        <f>IFERROR(IF(E86="Short",-1,1)*(IF(K86&lt;&gt;"",K86,L86)/J86-1),"")</f>
        <v/>
      </c>
      <c r="N86" s="6">
        <f>IFERROR(I86*(IF(K86&lt;&gt;"",K86,L86)-J86),"")</f>
        <v/>
      </c>
      <c r="O86" s="8" t="n">
        <v>0.5</v>
      </c>
      <c r="P86" s="2" t="n"/>
      <c r="Q86"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7">
      <c r="A87" s="2" t="inlineStr">
        <is>
          <t>2026-10-21</t>
        </is>
      </c>
      <c r="B87" s="2" t="inlineStr">
        <is>
          <t>CSX</t>
        </is>
      </c>
      <c r="C87" s="2" t="inlineStr">
        <is>
          <t>CSX</t>
        </is>
      </c>
      <c r="D87" s="2" t="inlineStr">
        <is>
          <t>position (lifecycle)</t>
        </is>
      </c>
      <c r="E87" s="2" t="inlineStr">
        <is>
          <t>Long</t>
        </is>
      </c>
      <c r="F87" s="2" t="inlineStr">
        <is>
          <t>Open</t>
        </is>
      </c>
      <c r="G87" s="2" t="inlineStr">
        <is>
          <t>2026-10-22</t>
        </is>
      </c>
      <c r="H87" s="2" t="inlineStr"/>
      <c r="I87" s="4" t="n">
        <v>175</v>
      </c>
      <c r="J87" s="5" t="n">
        <v>51.40897145714285</v>
      </c>
      <c r="K87" s="5" t="n"/>
      <c r="L87" s="5" t="n">
        <v>52.135</v>
      </c>
      <c r="M87" s="7">
        <f>IFERROR(IF(E87="Short",-1,1)*(IF(K87&lt;&gt;"",K87,L87)/J87-1),"")</f>
        <v/>
      </c>
      <c r="N87" s="6">
        <f>IFERROR(I87*(IF(K87&lt;&gt;"",K87,L87)-J87),"")</f>
        <v/>
      </c>
      <c r="O87" s="8" t="n">
        <v>0.66</v>
      </c>
      <c r="P87" s="2" t="n"/>
      <c r="Q87"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88">
      <c r="A88" s="2" t="inlineStr">
        <is>
          <t>2026-10-21</t>
        </is>
      </c>
      <c r="B88" s="2" t="inlineStr">
        <is>
          <t>HAS</t>
        </is>
      </c>
      <c r="C88" s="2" t="inlineStr">
        <is>
          <t>HAS</t>
        </is>
      </c>
      <c r="D88" s="2" t="inlineStr">
        <is>
          <t>position (lifecycle)</t>
        </is>
      </c>
      <c r="E88" s="2" t="inlineStr">
        <is>
          <t>Long</t>
        </is>
      </c>
      <c r="F88" s="2" t="inlineStr">
        <is>
          <t>Open</t>
        </is>
      </c>
      <c r="G88" s="2" t="inlineStr">
        <is>
          <t>2026-10-22</t>
        </is>
      </c>
      <c r="H88" s="2" t="inlineStr"/>
      <c r="I88" s="4" t="n">
        <v>21</v>
      </c>
      <c r="J88" s="5" t="n">
        <v>117.22</v>
      </c>
      <c r="K88" s="5" t="n"/>
      <c r="L88" s="5" t="n">
        <v>120.33</v>
      </c>
      <c r="M88" s="7">
        <f>IFERROR(IF(E88="Short",-1,1)*(IF(K88&lt;&gt;"",K88,L88)/J88-1),"")</f>
        <v/>
      </c>
      <c r="N88" s="6">
        <f>IFERROR(I88*(IF(K88&lt;&gt;"",K88,L88)-J88),"")</f>
        <v/>
      </c>
      <c r="O88" s="8" t="n">
        <v>0.55</v>
      </c>
      <c r="P88" s="2" t="n"/>
      <c r="Q88"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89">
      <c r="A89" s="2" t="inlineStr">
        <is>
          <t>2026-10-21</t>
        </is>
      </c>
      <c r="B89" s="2" t="inlineStr">
        <is>
          <t>LRCX</t>
        </is>
      </c>
      <c r="C89" s="2" t="inlineStr">
        <is>
          <t>LRCX</t>
        </is>
      </c>
      <c r="D89" s="2" t="inlineStr">
        <is>
          <t>position (lifecycle)</t>
        </is>
      </c>
      <c r="E89" s="2" t="inlineStr">
        <is>
          <t>Short</t>
        </is>
      </c>
      <c r="F89" s="2" t="inlineStr">
        <is>
          <t>Open</t>
        </is>
      </c>
      <c r="G89" s="2" t="inlineStr">
        <is>
          <t>2026-10-22</t>
        </is>
      </c>
      <c r="H89" s="2" t="inlineStr"/>
      <c r="I89" s="4" t="n">
        <v>-7</v>
      </c>
      <c r="J89" s="5" t="n">
        <v>230.03</v>
      </c>
      <c r="K89" s="5" t="n"/>
      <c r="L89" s="5" t="n">
        <v>254.78</v>
      </c>
      <c r="M89" s="7">
        <f>IFERROR(IF(E89="Short",-1,1)*(IF(K89&lt;&gt;"",K89,L89)/J89-1),"")</f>
        <v/>
      </c>
      <c r="N89" s="6">
        <f>IFERROR(I89*(IF(K89&lt;&gt;"",K89,L89)-J89),"")</f>
        <v/>
      </c>
      <c r="O89" s="8" t="n">
        <v>0.62</v>
      </c>
      <c r="P89" s="2" t="n"/>
      <c r="Q89"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90">
      <c r="A90" s="2" t="inlineStr">
        <is>
          <t>2026-10-21</t>
        </is>
      </c>
      <c r="B90" s="2" t="inlineStr">
        <is>
          <t>ROL</t>
        </is>
      </c>
      <c r="C90" s="2" t="inlineStr">
        <is>
          <t>ROL</t>
        </is>
      </c>
      <c r="D90" s="2" t="inlineStr">
        <is>
          <t>position (lifecycle)</t>
        </is>
      </c>
      <c r="E90" s="2" t="inlineStr">
        <is>
          <t>Short</t>
        </is>
      </c>
      <c r="F90" s="2" t="inlineStr">
        <is>
          <t>Open</t>
        </is>
      </c>
      <c r="G90" s="2" t="inlineStr">
        <is>
          <t>2026-10-22</t>
        </is>
      </c>
      <c r="H90" s="2" t="inlineStr"/>
      <c r="I90" s="4" t="n">
        <v>-283</v>
      </c>
      <c r="J90" s="5" t="n">
        <v>35.04272084805654</v>
      </c>
      <c r="K90" s="5" t="n"/>
      <c r="L90" s="5" t="n">
        <v>33.59</v>
      </c>
      <c r="M90" s="7">
        <f>IFERROR(IF(E90="Short",-1,1)*(IF(K90&lt;&gt;"",K90,L90)/J90-1),"")</f>
        <v/>
      </c>
      <c r="N90" s="6">
        <f>IFERROR(I90*(IF(K90&lt;&gt;"",K90,L90)-J90),"")</f>
        <v/>
      </c>
      <c r="O90" s="8" t="n">
        <v>0.72</v>
      </c>
      <c r="P90" s="2" t="n"/>
      <c r="Q90"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sheetData>
  <autoFilter ref="A1:Q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5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row r="143">
      <c r="A143" s="2" t="inlineStr">
        <is>
          <t>2026-10-21</t>
        </is>
      </c>
      <c r="B143" s="2" t="inlineStr">
        <is>
          <t>2026-10-26</t>
        </is>
      </c>
      <c r="C143" s="2" t="inlineStr">
        <is>
          <t>LRCX</t>
        </is>
      </c>
      <c r="D143" s="2" t="inlineStr">
        <is>
          <t>rebalance</t>
        </is>
      </c>
      <c r="E143" s="2" t="inlineStr">
        <is>
          <t>buy</t>
        </is>
      </c>
      <c r="F143" s="10" t="n">
        <v>6</v>
      </c>
      <c r="G143" s="10" t="n">
        <v>6</v>
      </c>
      <c r="H143" s="2" t="inlineStr">
        <is>
          <t>market, last minute before the close (lifecycle)</t>
        </is>
      </c>
      <c r="I143" s="5" t="n">
        <v>237.33</v>
      </c>
      <c r="J143" s="2" t="inlineStr">
        <is>
          <t>filled</t>
        </is>
      </c>
      <c r="K143" s="5" t="n">
        <v>237.291667</v>
      </c>
      <c r="L143" s="5" t="n"/>
      <c r="M143" s="11" t="n"/>
      <c r="N143" s="10">
        <f>IFERROR(G143*IF(K143&lt;&gt;"",K143,I143),"")</f>
        <v/>
      </c>
      <c r="O143" s="2" t="inlineStr">
        <is>
          <t>fund-lc-2026-10-26-LRCX-rebalance</t>
        </is>
      </c>
    </row>
    <row r="144">
      <c r="A144" s="2" t="inlineStr">
        <is>
          <t>2026-10-21</t>
        </is>
      </c>
      <c r="B144" s="2" t="inlineStr">
        <is>
          <t>2026-10-26</t>
        </is>
      </c>
      <c r="C144" s="2" t="inlineStr">
        <is>
          <t>NFLX</t>
        </is>
      </c>
      <c r="D144" s="2" t="inlineStr">
        <is>
          <t>rebalance</t>
        </is>
      </c>
      <c r="E144" s="2" t="inlineStr">
        <is>
          <t>sell</t>
        </is>
      </c>
      <c r="F144" s="10" t="n">
        <v>25</v>
      </c>
      <c r="G144" s="10" t="n">
        <v>25</v>
      </c>
      <c r="H144" s="2" t="inlineStr">
        <is>
          <t>market, last minute before the close (lifecycle)</t>
        </is>
      </c>
      <c r="I144" s="5" t="n">
        <v>63.94</v>
      </c>
      <c r="J144" s="2" t="inlineStr">
        <is>
          <t>filled</t>
        </is>
      </c>
      <c r="K144" s="5" t="n">
        <v>63.88</v>
      </c>
      <c r="L144" s="5" t="n"/>
      <c r="M144" s="11" t="n"/>
      <c r="N144" s="10">
        <f>IFERROR(G144*IF(K144&lt;&gt;"",K144,I144),"")</f>
        <v/>
      </c>
      <c r="O144" s="2" t="inlineStr">
        <is>
          <t>fund-lc-2026-10-26-NFLX-rebalance</t>
        </is>
      </c>
    </row>
    <row r="145">
      <c r="A145" s="2" t="inlineStr">
        <is>
          <t>2026-10-21</t>
        </is>
      </c>
      <c r="B145" s="2" t="inlineStr">
        <is>
          <t>2026-10-26</t>
        </is>
      </c>
      <c r="C145" s="2" t="inlineStr">
        <is>
          <t>ROL</t>
        </is>
      </c>
      <c r="D145" s="2" t="inlineStr">
        <is>
          <t>rebalance</t>
        </is>
      </c>
      <c r="E145" s="2" t="inlineStr">
        <is>
          <t>sell</t>
        </is>
      </c>
      <c r="F145" s="10" t="n">
        <v>85</v>
      </c>
      <c r="G145" s="10" t="n">
        <v>85</v>
      </c>
      <c r="H145" s="2" t="inlineStr">
        <is>
          <t>market, last minute before the close (lifecycle)</t>
        </is>
      </c>
      <c r="I145" s="5" t="n">
        <v>34.525</v>
      </c>
      <c r="J145" s="2" t="inlineStr">
        <is>
          <t>filled</t>
        </is>
      </c>
      <c r="K145" s="5" t="n">
        <v>34.49</v>
      </c>
      <c r="L145" s="5" t="n"/>
      <c r="M145" s="11" t="n"/>
      <c r="N145" s="10">
        <f>IFERROR(G145*IF(K145&lt;&gt;"",K145,I145),"")</f>
        <v/>
      </c>
      <c r="O145" s="2" t="inlineStr">
        <is>
          <t>fund-lc-2026-10-26-ROL-rebalance</t>
        </is>
      </c>
    </row>
    <row r="146">
      <c r="A146" s="2" t="inlineStr">
        <is>
          <t>2026-10-21</t>
        </is>
      </c>
      <c r="B146" s="2" t="inlineStr">
        <is>
          <t>2026-10-26</t>
        </is>
      </c>
      <c r="C146" s="2" t="inlineStr">
        <is>
          <t>SMCI</t>
        </is>
      </c>
      <c r="D146" s="2" t="inlineStr">
        <is>
          <t>rebalance</t>
        </is>
      </c>
      <c r="E146" s="2" t="inlineStr">
        <is>
          <t>sell</t>
        </is>
      </c>
      <c r="F146" s="10" t="n">
        <v>1</v>
      </c>
      <c r="G146" s="10" t="n">
        <v>1</v>
      </c>
      <c r="H146" s="2" t="inlineStr">
        <is>
          <t>market, last minute before the close (lifecycle)</t>
        </is>
      </c>
      <c r="I146" s="5" t="n">
        <v>32.675</v>
      </c>
      <c r="J146" s="2" t="inlineStr">
        <is>
          <t>filled</t>
        </is>
      </c>
      <c r="K146" s="5" t="n">
        <v>32.69</v>
      </c>
      <c r="L146" s="5" t="n"/>
      <c r="M146" s="11" t="n"/>
      <c r="N146" s="10">
        <f>IFERROR(G146*IF(K146&lt;&gt;"",K146,I146),"")</f>
        <v/>
      </c>
      <c r="O146" s="2" t="inlineStr">
        <is>
          <t>fund-lc-2026-10-26-SMCI-rebalance</t>
        </is>
      </c>
    </row>
    <row r="147">
      <c r="A147" s="2" t="inlineStr">
        <is>
          <t>2026-10-21</t>
        </is>
      </c>
      <c r="B147" s="2" t="inlineStr">
        <is>
          <t>2026-10-27</t>
        </is>
      </c>
      <c r="C147" s="2" t="inlineStr">
        <is>
          <t>AVGO</t>
        </is>
      </c>
      <c r="D147" s="2" t="inlineStr">
        <is>
          <t>close</t>
        </is>
      </c>
      <c r="E147" s="2" t="inlineStr">
        <is>
          <t>buy</t>
        </is>
      </c>
      <c r="F147" s="10" t="n">
        <v>7</v>
      </c>
      <c r="G147" s="10" t="n">
        <v>7</v>
      </c>
      <c r="H147" s="2" t="inlineStr">
        <is>
          <t>market, last minute before the close (lifecycle)</t>
        </is>
      </c>
      <c r="I147" s="5" t="n">
        <v>342.375</v>
      </c>
      <c r="J147" s="2" t="inlineStr">
        <is>
          <t>filled</t>
        </is>
      </c>
      <c r="K147" s="5" t="n">
        <v>342.442857</v>
      </c>
      <c r="L147" s="5" t="n"/>
      <c r="M147" s="11" t="n"/>
      <c r="N147" s="10">
        <f>IFERROR(G147*IF(K147&lt;&gt;"",K147,I147),"")</f>
        <v/>
      </c>
      <c r="O147" s="2" t="inlineStr">
        <is>
          <t>fund-lc-2026-10-27-AVGO-close</t>
        </is>
      </c>
    </row>
    <row r="148">
      <c r="A148" s="2" t="inlineStr">
        <is>
          <t>2026-10-21</t>
        </is>
      </c>
      <c r="B148" s="2" t="inlineStr">
        <is>
          <t>2026-10-27</t>
        </is>
      </c>
      <c r="C148" s="2" t="inlineStr">
        <is>
          <t>BA</t>
        </is>
      </c>
      <c r="D148" s="2" t="inlineStr">
        <is>
          <t>close</t>
        </is>
      </c>
      <c r="E148" s="2" t="inlineStr">
        <is>
          <t>sell</t>
        </is>
      </c>
      <c r="F148" s="10" t="n">
        <v>13</v>
      </c>
      <c r="G148" s="10" t="n">
        <v>13</v>
      </c>
      <c r="H148" s="2" t="inlineStr">
        <is>
          <t>market, last minute before the close (lifecycle)</t>
        </is>
      </c>
      <c r="I148" s="5" t="n">
        <v>167.835</v>
      </c>
      <c r="J148" s="2" t="inlineStr">
        <is>
          <t>filled</t>
        </is>
      </c>
      <c r="K148" s="5" t="n">
        <v>168.09</v>
      </c>
      <c r="L148" s="5" t="n"/>
      <c r="M148" s="11" t="n"/>
      <c r="N148" s="10">
        <f>IFERROR(G148*IF(K148&lt;&gt;"",K148,I148),"")</f>
        <v/>
      </c>
      <c r="O148" s="2" t="inlineStr">
        <is>
          <t>fund-lc-2026-10-27-BA-close</t>
        </is>
      </c>
    </row>
    <row r="149">
      <c r="A149" s="2" t="inlineStr">
        <is>
          <t>2026-10-21</t>
        </is>
      </c>
      <c r="B149" s="2" t="inlineStr">
        <is>
          <t>2026-10-27</t>
        </is>
      </c>
      <c r="C149" s="2" t="inlineStr">
        <is>
          <t>CRM</t>
        </is>
      </c>
      <c r="D149" s="2" t="inlineStr">
        <is>
          <t>close</t>
        </is>
      </c>
      <c r="E149" s="2" t="inlineStr">
        <is>
          <t>buy</t>
        </is>
      </c>
      <c r="F149" s="10" t="n">
        <v>18</v>
      </c>
      <c r="G149" s="10" t="n">
        <v>18</v>
      </c>
      <c r="H149" s="2" t="inlineStr">
        <is>
          <t>market, last minute before the close (lifecycle)</t>
        </is>
      </c>
      <c r="I149" s="5" t="n">
        <v>241.045</v>
      </c>
      <c r="J149" s="2" t="inlineStr">
        <is>
          <t>filled</t>
        </is>
      </c>
      <c r="K149" s="5" t="n">
        <v>240.841667</v>
      </c>
      <c r="L149" s="5" t="n"/>
      <c r="M149" s="11" t="n"/>
      <c r="N149" s="10">
        <f>IFERROR(G149*IF(K149&lt;&gt;"",K149,I149),"")</f>
        <v/>
      </c>
      <c r="O149" s="2" t="inlineStr">
        <is>
          <t>fund-lc-2026-10-27-CRM-close</t>
        </is>
      </c>
    </row>
    <row r="150">
      <c r="A150" s="2" t="inlineStr">
        <is>
          <t>2026-10-21</t>
        </is>
      </c>
      <c r="B150" s="2" t="inlineStr">
        <is>
          <t>2026-10-27</t>
        </is>
      </c>
      <c r="C150" s="2" t="inlineStr">
        <is>
          <t>MMM</t>
        </is>
      </c>
      <c r="D150" s="2" t="inlineStr">
        <is>
          <t>close</t>
        </is>
      </c>
      <c r="E150" s="2" t="inlineStr">
        <is>
          <t>sell</t>
        </is>
      </c>
      <c r="F150" s="10" t="n">
        <v>15</v>
      </c>
      <c r="G150" s="10" t="n">
        <v>15</v>
      </c>
      <c r="H150" s="2" t="inlineStr">
        <is>
          <t>market, last minute before the close (lifecycle)</t>
        </is>
      </c>
      <c r="I150" s="5" t="n">
        <v>171.94</v>
      </c>
      <c r="J150" s="2" t="inlineStr">
        <is>
          <t>filled</t>
        </is>
      </c>
      <c r="K150" s="5" t="n">
        <v>171.647334</v>
      </c>
      <c r="L150" s="5" t="n"/>
      <c r="M150" s="11" t="n"/>
      <c r="N150" s="10">
        <f>IFERROR(G150*IF(K150&lt;&gt;"",K150,I150),"")</f>
        <v/>
      </c>
      <c r="O150" s="2" t="inlineStr">
        <is>
          <t>fund-lc-2026-10-27-MMM-close</t>
        </is>
      </c>
    </row>
    <row r="151">
      <c r="A151" s="2" t="inlineStr">
        <is>
          <t>2026-10-21</t>
        </is>
      </c>
      <c r="B151" s="2" t="inlineStr">
        <is>
          <t>2026-10-27</t>
        </is>
      </c>
      <c r="C151" s="2" t="inlineStr">
        <is>
          <t>MRVL</t>
        </is>
      </c>
      <c r="D151" s="2" t="inlineStr">
        <is>
          <t>close</t>
        </is>
      </c>
      <c r="E151" s="2" t="inlineStr">
        <is>
          <t>sell</t>
        </is>
      </c>
      <c r="F151" s="10" t="n">
        <v>35</v>
      </c>
      <c r="G151" s="10" t="n">
        <v>35</v>
      </c>
      <c r="H151" s="2" t="inlineStr">
        <is>
          <t>market, last minute before the close (lifecycle)</t>
        </is>
      </c>
      <c r="I151" s="5" t="n">
        <v>243.865</v>
      </c>
      <c r="J151" s="2" t="inlineStr">
        <is>
          <t>filled</t>
        </is>
      </c>
      <c r="K151" s="5" t="n">
        <v>243.820286</v>
      </c>
      <c r="L151" s="5" t="n"/>
      <c r="M151" s="11" t="n"/>
      <c r="N151" s="10">
        <f>IFERROR(G151*IF(K151&lt;&gt;"",K151,I151),"")</f>
        <v/>
      </c>
      <c r="O151" s="2" t="inlineStr">
        <is>
          <t>fund-lc-2026-10-27-MRVL-close</t>
        </is>
      </c>
    </row>
    <row r="152">
      <c r="A152" s="2" t="inlineStr">
        <is>
          <t>2026-10-21</t>
        </is>
      </c>
      <c r="B152" s="2" t="inlineStr">
        <is>
          <t>2026-10-27</t>
        </is>
      </c>
      <c r="C152" s="2" t="inlineStr">
        <is>
          <t>NKE</t>
        </is>
      </c>
      <c r="D152" s="2" t="inlineStr">
        <is>
          <t>close</t>
        </is>
      </c>
      <c r="E152" s="2" t="inlineStr">
        <is>
          <t>buy</t>
        </is>
      </c>
      <c r="F152" s="10" t="n">
        <v>256</v>
      </c>
      <c r="G152" s="10" t="n">
        <v>256</v>
      </c>
      <c r="H152" s="2" t="inlineStr">
        <is>
          <t>market, last minute before the close (lifecycle)</t>
        </is>
      </c>
      <c r="I152" s="5" t="n">
        <v>37.555</v>
      </c>
      <c r="J152" s="2" t="inlineStr">
        <is>
          <t>filled</t>
        </is>
      </c>
      <c r="K152" s="5" t="n">
        <v>37.57</v>
      </c>
      <c r="L152" s="5" t="n"/>
      <c r="M152" s="11" t="n"/>
      <c r="N152" s="10">
        <f>IFERROR(G152*IF(K152&lt;&gt;"",K152,I152),"")</f>
        <v/>
      </c>
      <c r="O152" s="2" t="inlineStr">
        <is>
          <t>fund-lc-2026-10-27-NKE-close</t>
        </is>
      </c>
    </row>
    <row r="153">
      <c r="A153" s="2" t="inlineStr">
        <is>
          <t>2026-10-21</t>
        </is>
      </c>
      <c r="B153" s="2" t="inlineStr">
        <is>
          <t>2026-10-27</t>
        </is>
      </c>
      <c r="C153" s="2" t="inlineStr">
        <is>
          <t>WMT</t>
        </is>
      </c>
      <c r="D153" s="2" t="inlineStr">
        <is>
          <t>close</t>
        </is>
      </c>
      <c r="E153" s="2" t="inlineStr">
        <is>
          <t>sell</t>
        </is>
      </c>
      <c r="F153" s="10" t="n">
        <v>24</v>
      </c>
      <c r="G153" s="10" t="n">
        <v>24</v>
      </c>
      <c r="H153" s="2" t="inlineStr">
        <is>
          <t>market, last minute before the close (lifecycle)</t>
        </is>
      </c>
      <c r="I153" s="5" t="n">
        <v>119.385</v>
      </c>
      <c r="J153" s="2" t="inlineStr">
        <is>
          <t>filled</t>
        </is>
      </c>
      <c r="K153" s="5" t="n">
        <v>119.28</v>
      </c>
      <c r="L153" s="5" t="n"/>
      <c r="M153" s="11" t="n"/>
      <c r="N153" s="10">
        <f>IFERROR(G153*IF(K153&lt;&gt;"",K153,I153),"")</f>
        <v/>
      </c>
      <c r="O153" s="2" t="inlineStr">
        <is>
          <t>fund-lc-2026-10-27-WMT-close</t>
        </is>
      </c>
    </row>
    <row r="154">
      <c r="A154" s="2" t="inlineStr">
        <is>
          <t>2026-10-21</t>
        </is>
      </c>
      <c r="B154" s="2" t="inlineStr">
        <is>
          <t>2026-10-27</t>
        </is>
      </c>
      <c r="C154" s="2" t="inlineStr">
        <is>
          <t>XOM</t>
        </is>
      </c>
      <c r="D154" s="2" t="inlineStr">
        <is>
          <t>close</t>
        </is>
      </c>
      <c r="E154" s="2" t="inlineStr">
        <is>
          <t>sell</t>
        </is>
      </c>
      <c r="F154" s="10" t="n">
        <v>14</v>
      </c>
      <c r="G154" s="10" t="n">
        <v>14</v>
      </c>
      <c r="H154" s="2" t="inlineStr">
        <is>
          <t>market, last minute before the close (lifecycle)</t>
        </is>
      </c>
      <c r="I154" s="5" t="n">
        <v>180.37</v>
      </c>
      <c r="J154" s="2" t="inlineStr">
        <is>
          <t>filled</t>
        </is>
      </c>
      <c r="K154" s="5" t="n">
        <v>179.837143</v>
      </c>
      <c r="L154" s="5" t="n"/>
      <c r="M154" s="11" t="n"/>
      <c r="N154" s="10">
        <f>IFERROR(G154*IF(K154&lt;&gt;"",K154,I154),"")</f>
        <v/>
      </c>
      <c r="O154" s="2" t="inlineStr">
        <is>
          <t>fund-lc-2026-10-27-XOM-close</t>
        </is>
      </c>
    </row>
  </sheetData>
  <autoFilter ref="A1:O15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72051.26579808403</v>
      </c>
      <c r="D16" s="7">
        <f>IF(C15&gt;0,(B16-B15)/C15,"")</f>
        <v/>
      </c>
      <c r="E16" s="3">
        <f>B16-$B$2</f>
        <v/>
      </c>
      <c r="F16" s="7">
        <f>IF(C16&gt;0,E16/C16,"")</f>
        <v/>
      </c>
    </row>
    <row r="17">
      <c r="A17" s="2" t="inlineStr">
        <is>
          <t>2026-10-22</t>
        </is>
      </c>
      <c r="B17" s="12" t="n">
        <v>98528.21000000001</v>
      </c>
      <c r="C17" s="12" t="n">
        <v>121882.9105285653</v>
      </c>
      <c r="D17" s="7">
        <f>IF(C16&gt;0,(B17-B16)/C16,"")</f>
        <v/>
      </c>
      <c r="E17" s="3">
        <f>B17-$B$2</f>
        <v/>
      </c>
      <c r="F17" s="7">
        <f>IF(C17&gt;0,E17/C17,"")</f>
        <v/>
      </c>
    </row>
    <row r="18">
      <c r="A18" s="2" t="inlineStr">
        <is>
          <t>2026-10-23</t>
        </is>
      </c>
      <c r="B18" s="12" t="n">
        <v>97134.66</v>
      </c>
      <c r="C18" s="12" t="n">
        <v>114807.3705265653</v>
      </c>
      <c r="D18" s="7">
        <f>IF(C17&gt;0,(B18-B17)/C17,"")</f>
        <v/>
      </c>
      <c r="E18" s="3">
        <f>B18-$B$2</f>
        <v/>
      </c>
      <c r="F18" s="7">
        <f>IF(C18&gt;0,E18/C18,"")</f>
        <v/>
      </c>
    </row>
    <row r="19">
      <c r="A19" s="2" t="inlineStr">
        <is>
          <t>2026-10-24</t>
        </is>
      </c>
      <c r="B19" s="12" t="n">
        <v>97550.24000000001</v>
      </c>
      <c r="C19" s="12" t="n">
        <v>114807.3705265653</v>
      </c>
      <c r="D19" s="7">
        <f>IF(C18&gt;0,(B19-B18)/C18,"")</f>
        <v/>
      </c>
      <c r="E19" s="3">
        <f>B19-$B$2</f>
        <v/>
      </c>
      <c r="F19" s="7">
        <f>IF(C19&gt;0,E19/C19,"")</f>
        <v/>
      </c>
    </row>
    <row r="20">
      <c r="A20" s="2" t="inlineStr">
        <is>
          <t>2026-10-27</t>
        </is>
      </c>
      <c r="B20" s="12" t="n">
        <v>97728.81</v>
      </c>
      <c r="C20" s="12" t="n">
        <v>79553.31052234456</v>
      </c>
      <c r="D20" s="7">
        <f>IF(C19&gt;0,(B20-B19)/C19,"")</f>
        <v/>
      </c>
      <c r="E20" s="3">
        <f>B20-$B$2</f>
        <v/>
      </c>
      <c r="F20" s="7">
        <f>IF(C20&gt;0,E20/C20,"")</f>
        <v/>
      </c>
    </row>
  </sheetData>
  <autoFilter ref="A1:F2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row r="24">
      <c r="A24" s="2" t="inlineStr">
        <is>
          <t>2026-10-22</t>
        </is>
      </c>
      <c r="B24" s="2" t="inlineStr">
        <is>
          <t>FEE</t>
        </is>
      </c>
      <c r="C24" s="2" t="n"/>
      <c r="D24" s="10" t="n"/>
      <c r="E24" s="13" t="n"/>
      <c r="F24" s="3" t="n">
        <v>-0.01</v>
      </c>
    </row>
    <row r="25">
      <c r="A25" s="2" t="inlineStr">
        <is>
          <t>2026-10-22</t>
        </is>
      </c>
      <c r="B25" s="2" t="inlineStr">
        <is>
          <t>FEE</t>
        </is>
      </c>
      <c r="C25" s="2" t="n"/>
      <c r="D25" s="10" t="n"/>
      <c r="E25" s="13" t="n"/>
      <c r="F25" s="3" t="n">
        <v>-0.97</v>
      </c>
    </row>
    <row r="26">
      <c r="A26" s="2" t="inlineStr">
        <is>
          <t>2026-10-23</t>
        </is>
      </c>
      <c r="B26" s="2" t="inlineStr">
        <is>
          <t>FEE</t>
        </is>
      </c>
      <c r="C26" s="2" t="n"/>
      <c r="D26" s="10" t="n"/>
      <c r="E26" s="13" t="n"/>
      <c r="F26" s="3" t="n">
        <v>-0.01</v>
      </c>
    </row>
    <row r="27">
      <c r="A27" s="2" t="inlineStr">
        <is>
          <t>2026-10-23</t>
        </is>
      </c>
      <c r="B27" s="2" t="inlineStr">
        <is>
          <t>FEE</t>
        </is>
      </c>
      <c r="C27" s="2" t="n"/>
      <c r="D27" s="10" t="n"/>
      <c r="E27" s="13" t="n"/>
      <c r="F27" s="3" t="n">
        <v>-0.36</v>
      </c>
    </row>
    <row r="28">
      <c r="A28" s="2" t="inlineStr">
        <is>
          <t>2026-10-26</t>
        </is>
      </c>
      <c r="B28" s="2" t="inlineStr">
        <is>
          <t>FEE</t>
        </is>
      </c>
      <c r="C28" s="2" t="n"/>
      <c r="D28" s="10" t="n"/>
      <c r="E28" s="13" t="n"/>
      <c r="F28" s="3" t="n">
        <v>-0.1</v>
      </c>
    </row>
    <row r="29">
      <c r="A29" s="2" t="inlineStr">
        <is>
          <t>2026-10-26</t>
        </is>
      </c>
      <c r="B29" s="2" t="inlineStr">
        <is>
          <t>FEE</t>
        </is>
      </c>
      <c r="C29" s="2" t="n"/>
      <c r="D29" s="10" t="n"/>
      <c r="E29" s="13" t="n"/>
      <c r="F29" s="3" t="n">
        <v>-0.01</v>
      </c>
    </row>
  </sheetData>
  <autoFilter ref="A1:F29"/>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2026-10-28T15:46:03Z</dcterms:created>
  <dcterms:modified xmlns:dcterms="http://purl.org/dc/terms/" xmlns:xsi="http://www.w3.org/2001/XMLSchema-instance" xsi:type="dcterms:W3CDTF">2026-10-28T15:46:11Z</dcterms:modified>
</cp:coreProperties>
</file>