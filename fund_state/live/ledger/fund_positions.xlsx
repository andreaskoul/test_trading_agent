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'Positions'!$A$1:$Q$9</definedName>
    <definedName name="_xlnm._FilterDatabase" localSheetId="1" hidden="1">'Orders'!$A$1:$O$24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SPY</t>
        </is>
      </c>
      <c r="C2" s="2" t="inlineStr">
        <is>
          <t>SPDR S&amp;P 500 ETF</t>
        </is>
      </c>
      <c r="D2" s="2" t="inlineStr">
        <is>
          <t>beta hedge</t>
        </is>
      </c>
      <c r="E2" s="2" t="inlineStr">
        <is>
          <t>Short</t>
        </is>
      </c>
      <c r="F2" s="2" t="inlineStr">
        <is>
          <t>Open</t>
        </is>
      </c>
      <c r="G2" s="2" t="inlineStr">
        <is>
          <t>2026-10-07</t>
        </is>
      </c>
      <c r="H2" s="2" t="inlineStr"/>
      <c r="I2" s="3" t="n">
        <v>-1</v>
      </c>
      <c r="J2" s="4" t="n">
        <v>777.219970703125</v>
      </c>
      <c r="K2" s="4" t="n"/>
      <c r="L2" s="4" t="n">
        <v>777.219970703125</v>
      </c>
      <c r="M2" s="5">
        <f>IFERROR(IF(E2="Short",-1,1)*(IF(K2&lt;&gt;"",K2,L2)/J2-1),"")</f>
        <v/>
      </c>
      <c r="N2" s="6">
        <f>IFERROR(I2*(IF(K2&lt;&gt;"",K2,L2)-J2),"")</f>
        <v/>
      </c>
      <c r="O2" s="7" t="n"/>
      <c r="P2" s="2" t="n"/>
      <c r="Q2" s="8" t="inlineStr">
        <is>
          <t>SPY hedge to zero beta</t>
        </is>
      </c>
    </row>
    <row r="3">
      <c r="A3" s="2" t="inlineStr">
        <is>
          <t>2026-09-30</t>
        </is>
      </c>
      <c r="B3" s="2" t="inlineStr">
        <is>
          <t>GEV</t>
        </is>
      </c>
      <c r="C3" s="2" t="inlineStr">
        <is>
          <t>GE Vernova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987.38</v>
      </c>
      <c r="K3" s="4" t="n"/>
      <c r="L3" s="4" t="n">
        <v>997.0900268554688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uphold</t>
        </is>
      </c>
      <c r="Q3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4">
      <c r="A4" s="2" t="inlineStr">
        <is>
          <t>2026-09-30</t>
        </is>
      </c>
      <c r="B4" s="2" t="inlineStr">
        <is>
          <t>MU</t>
        </is>
      </c>
      <c r="C4" s="2" t="inlineStr">
        <is>
          <t>Micron Technology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Closed (daily review)</t>
        </is>
      </c>
      <c r="G4" s="2" t="inlineStr">
        <is>
          <t>2026-10-01</t>
        </is>
      </c>
      <c r="H4" s="2" t="inlineStr">
        <is>
          <t>2026-10-07</t>
        </is>
      </c>
      <c r="I4" s="3" t="n">
        <v>2</v>
      </c>
      <c r="J4" s="4" t="n">
        <v>1097.61</v>
      </c>
      <c r="K4" s="4" t="n">
        <v>1088</v>
      </c>
      <c r="L4" s="4" t="n">
        <v>1088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0.6</v>
      </c>
      <c r="P4" s="2" t="inlineStr">
        <is>
          <t>weaken</t>
        </is>
      </c>
      <c r="Q4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5">
      <c r="A5" s="2" t="inlineStr">
        <is>
          <t>2026-09-30</t>
        </is>
      </c>
      <c r="B5" s="2" t="inlineStr">
        <is>
          <t>MU</t>
        </is>
      </c>
      <c r="C5" s="2" t="inlineStr">
        <is>
          <t>Micron Technology</t>
        </is>
      </c>
      <c r="D5" s="2" t="inlineStr">
        <is>
          <t>position</t>
        </is>
      </c>
      <c r="E5" s="2" t="inlineStr">
        <is>
          <t>Long</t>
        </is>
      </c>
      <c r="F5" s="2" t="inlineStr">
        <is>
          <t>Open</t>
        </is>
      </c>
      <c r="G5" s="2" t="inlineStr">
        <is>
          <t>2026-10-07</t>
        </is>
      </c>
      <c r="H5" s="2" t="inlineStr"/>
      <c r="I5" s="3" t="n">
        <v>1</v>
      </c>
      <c r="J5" s="4" t="n">
        <v>1088</v>
      </c>
      <c r="K5" s="4" t="n"/>
      <c r="L5" s="4" t="n">
        <v>1088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weaken</t>
        </is>
      </c>
      <c r="Q5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6">
      <c r="A6" s="2" t="inlineStr">
        <is>
          <t>2026-09-30</t>
        </is>
      </c>
      <c r="B6" s="2" t="inlineStr">
        <is>
          <t>NFLX</t>
        </is>
      </c>
      <c r="C6" s="2" t="inlineStr">
        <is>
          <t>Netflix</t>
        </is>
      </c>
      <c r="D6" s="2" t="inlineStr">
        <is>
          <t>position</t>
        </is>
      </c>
      <c r="E6" s="2" t="inlineStr">
        <is>
          <t>Long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24</v>
      </c>
      <c r="J6" s="4" t="n">
        <v>67.84999999999999</v>
      </c>
      <c r="K6" s="4" t="n"/>
      <c r="L6" s="4" t="n">
        <v>69.69999694824219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0.55</v>
      </c>
      <c r="P6" s="2" t="inlineStr">
        <is>
          <t>uphold</t>
        </is>
      </c>
      <c r="Q6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7">
      <c r="A7" s="2" t="inlineStr">
        <is>
          <t>2026-09-30</t>
        </is>
      </c>
      <c r="B7" s="2" t="inlineStr">
        <is>
          <t>BRK.B</t>
        </is>
      </c>
      <c r="C7" s="2" t="inlineStr">
        <is>
          <t>Berkshire Hathaway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-4</v>
      </c>
      <c r="J7" s="4" t="n">
        <v>500.56</v>
      </c>
      <c r="K7" s="4" t="n"/>
      <c r="L7" s="4" t="n">
        <v>506.25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0.6</v>
      </c>
      <c r="P7" s="2" t="inlineStr">
        <is>
          <t>uphold</t>
        </is>
      </c>
      <c r="Q7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8">
      <c r="A8" s="2" t="inlineStr">
        <is>
          <t>2026-09-30</t>
        </is>
      </c>
      <c r="B8" s="2" t="inlineStr">
        <is>
          <t>LULU</t>
        </is>
      </c>
      <c r="C8" s="2" t="inlineStr">
        <is>
          <t>Lululemon Athletica</t>
        </is>
      </c>
      <c r="D8" s="2" t="inlineStr">
        <is>
          <t>position</t>
        </is>
      </c>
      <c r="E8" s="2" t="inlineStr">
        <is>
          <t>Short</t>
        </is>
      </c>
      <c r="F8" s="2" t="inlineStr">
        <is>
          <t>Open</t>
        </is>
      </c>
      <c r="G8" s="2" t="inlineStr">
        <is>
          <t>2026-10-01</t>
        </is>
      </c>
      <c r="H8" s="2" t="inlineStr"/>
      <c r="I8" s="3" t="n">
        <v>-27</v>
      </c>
      <c r="J8" s="4" t="n">
        <v>95.87</v>
      </c>
      <c r="K8" s="4" t="n"/>
      <c r="L8" s="4" t="n">
        <v>91.87999725341797</v>
      </c>
      <c r="M8" s="5">
        <f>IFERROR(IF(E8="Short",-1,1)*(IF(K8&lt;&gt;"",K8,L8)/J8-1),"")</f>
        <v/>
      </c>
      <c r="N8" s="6">
        <f>IFERROR(I8*(IF(K8&lt;&gt;"",K8,L8)-J8),"")</f>
        <v/>
      </c>
      <c r="O8" s="7" t="n">
        <v>0.6</v>
      </c>
      <c r="P8" s="2" t="inlineStr">
        <is>
          <t>uphold</t>
        </is>
      </c>
      <c r="Q8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9">
      <c r="A9" s="2" t="inlineStr">
        <is>
          <t>2026-09-30</t>
        </is>
      </c>
      <c r="B9" s="2" t="inlineStr">
        <is>
          <t>STZ</t>
        </is>
      </c>
      <c r="C9" s="2" t="inlineStr">
        <is>
          <t>Constellation Brands</t>
        </is>
      </c>
      <c r="D9" s="2" t="inlineStr">
        <is>
          <t>position</t>
        </is>
      </c>
      <c r="E9" s="2" t="inlineStr">
        <is>
          <t>Short</t>
        </is>
      </c>
      <c r="F9" s="2" t="inlineStr">
        <is>
          <t>Closed (daily review)</t>
        </is>
      </c>
      <c r="G9" s="2" t="inlineStr">
        <is>
          <t>2026-10-01</t>
        </is>
      </c>
      <c r="H9" s="2" t="inlineStr">
        <is>
          <t>2026-10-07</t>
        </is>
      </c>
      <c r="I9" s="3" t="n">
        <v>-5</v>
      </c>
      <c r="J9" s="4" t="n">
        <v>112.95</v>
      </c>
      <c r="K9" s="4" t="n">
        <v>118.3899993896484</v>
      </c>
      <c r="L9" s="4" t="n">
        <v>118.3899993896484</v>
      </c>
      <c r="M9" s="5">
        <f>IFERROR(IF(E9="Short",-1,1)*(IF(K9&lt;&gt;"",K9,L9)/J9-1),"")</f>
        <v/>
      </c>
      <c r="N9" s="6">
        <f>IFERROR(I9*(IF(K9&lt;&gt;"",K9,L9)-J9),"")</f>
        <v/>
      </c>
      <c r="O9" s="7" t="n">
        <v>0.55</v>
      </c>
      <c r="P9" s="2" t="inlineStr">
        <is>
          <t>uphold</t>
        </is>
      </c>
      <c r="Q9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  <row r="22">
      <c r="A22" s="2" t="inlineStr">
        <is>
          <t>2026-09-30</t>
        </is>
      </c>
      <c r="B22" s="2" t="inlineStr">
        <is>
          <t>2026-10-07</t>
        </is>
      </c>
      <c r="C22" s="2" t="inlineStr">
        <is>
          <t>MU</t>
        </is>
      </c>
      <c r="D22" s="2" t="inlineStr">
        <is>
          <t>review-reduce</t>
        </is>
      </c>
      <c r="E22" s="2" t="inlineStr">
        <is>
          <t>sell</t>
        </is>
      </c>
      <c r="F22" s="9" t="n">
        <v>1</v>
      </c>
      <c r="G22" s="9" t="n">
        <v>1</v>
      </c>
      <c r="H22" s="2" t="inlineStr">
        <is>
          <t>market-on-close (daily review)</t>
        </is>
      </c>
      <c r="I22" s="4" t="n">
        <v>1086.89</v>
      </c>
      <c r="J22" s="2" t="inlineStr">
        <is>
          <t>filled</t>
        </is>
      </c>
      <c r="K22" s="4" t="n"/>
      <c r="L22" s="4" t="n"/>
      <c r="M22" s="10" t="n"/>
      <c r="N22" s="9">
        <f>IFERROR(G22*IF(K22&lt;&gt;"",K22,I22),"")</f>
        <v/>
      </c>
      <c r="O22" s="2" t="inlineStr">
        <is>
          <t>fund-2026-09-30-MU-r20261007</t>
        </is>
      </c>
    </row>
    <row r="23">
      <c r="A23" s="2" t="inlineStr">
        <is>
          <t>2026-09-30</t>
        </is>
      </c>
      <c r="B23" s="2" t="inlineStr">
        <is>
          <t>2026-10-07</t>
        </is>
      </c>
      <c r="C23" s="2" t="inlineStr">
        <is>
          <t>STZ</t>
        </is>
      </c>
      <c r="D23" s="2" t="inlineStr">
        <is>
          <t>review-exit</t>
        </is>
      </c>
      <c r="E23" s="2" t="inlineStr">
        <is>
          <t>buy</t>
        </is>
      </c>
      <c r="F23" s="9" t="n">
        <v>5</v>
      </c>
      <c r="G23" s="9" t="n">
        <v>5</v>
      </c>
      <c r="H23" s="2" t="inlineStr">
        <is>
          <t>market-on-close (daily review)</t>
        </is>
      </c>
      <c r="I23" s="4" t="n">
        <v>117.985</v>
      </c>
      <c r="J23" s="2" t="inlineStr">
        <is>
          <t>filled</t>
        </is>
      </c>
      <c r="K23" s="4" t="n"/>
      <c r="L23" s="4" t="n"/>
      <c r="M23" s="10" t="n"/>
      <c r="N23" s="9">
        <f>IFERROR(G23*IF(K23&lt;&gt;"",K23,I23),"")</f>
        <v/>
      </c>
      <c r="O23" s="2" t="inlineStr">
        <is>
          <t>fund-2026-09-30-STZ-r20261007</t>
        </is>
      </c>
    </row>
    <row r="24">
      <c r="A24" s="2" t="inlineStr">
        <is>
          <t>2026-09-30</t>
        </is>
      </c>
      <c r="B24" s="2" t="inlineStr">
        <is>
          <t>2026-10-07</t>
        </is>
      </c>
      <c r="C24" s="2" t="inlineStr">
        <is>
          <t>SPY</t>
        </is>
      </c>
      <c r="D24" s="2" t="inlineStr">
        <is>
          <t>review-rehedge</t>
        </is>
      </c>
      <c r="E24" s="2" t="inlineStr">
        <is>
          <t>sell</t>
        </is>
      </c>
      <c r="F24" s="9" t="n">
        <v>1</v>
      </c>
      <c r="G24" s="9" t="n">
        <v>1</v>
      </c>
      <c r="H24" s="2" t="inlineStr">
        <is>
          <t>market-on-close (daily review)</t>
        </is>
      </c>
      <c r="I24" s="4" t="n">
        <v>777.515</v>
      </c>
      <c r="J24" s="2" t="inlineStr">
        <is>
          <t>filled</t>
        </is>
      </c>
      <c r="K24" s="4" t="n"/>
      <c r="L24" s="4" t="n"/>
      <c r="M24" s="10" t="n"/>
      <c r="N24" s="9">
        <f>IFERROR(G24*IF(K24&lt;&gt;"",K24,I24),"")</f>
        <v/>
      </c>
      <c r="O24" s="2" t="inlineStr">
        <is>
          <t>fund-2026-09-30-SPY-r20261007</t>
        </is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2026-10-07T23:45:13Z</dcterms:created>
  <dcterms:modified xmlns:dcterms="http://purl.org/dc/terms/" xmlns:xsi="http://www.w3.org/2001/XMLSchema-instance" xsi:type="dcterms:W3CDTF">2026-10-07T23:45:13Z</dcterms:modified>
</cp:coreProperties>
</file>