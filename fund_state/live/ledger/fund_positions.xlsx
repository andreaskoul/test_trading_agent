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'Orders'!$A$1:$O$90</definedName>
    <definedName name="_xlnm._FilterDatabase" localSheetId="5" hidden="1">'Account'!$A$1:$F$13</definedName>
    <definedName name="_xlnm._FilterDatabase" localSheetId="6" hidden="1">'Cash activity'!$A$1:$F$16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2026-10-19 14:58 ET)</t>
        </is>
      </c>
      <c r="B2" s="3" t="n">
        <v>98414.33689999999</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-1568.123100000003</v>
      </c>
    </row>
    <row r="7">
      <c r="A7" s="2" t="inlineStr">
        <is>
          <t>Dividends, fees &amp; interest</t>
        </is>
      </c>
      <c r="B7" s="3" t="n">
        <v>-2.28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540.1609999999999</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50.4187</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242.03</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74.72499999999999</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55.62</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334.48</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23.275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237.7799</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534.2234999999999</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69.72499999999999</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37.1099</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217.2461</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72.36499999999999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130.03</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32.0395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165.105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368.72</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316.6</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767.6400146484375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904.7949829101562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906.405029296875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906.405029296875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69.73000335693359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532.9600219726562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96.44000244140625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131.0350036621094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767.6400146484375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767.6400146484375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767.6400146484375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767.6400146484375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540.239990234375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540.239990234375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335.25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335.25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335.25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191.4799957275391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262.8500061035156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344.7799987792969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55.63999938964844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839.0800170898438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1249.430053710938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237.7357940673828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217.2400054931641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217.2400054931641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532.9600219726562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96.44000244140625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243.4900054931641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704.5750122070312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37.10240173339844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133.3200073242188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133.3200073242188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1375.207397460938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1375.207397460938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657.25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347.5700073242188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335.25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191.4799957275391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533.0150146484375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262.8500061035156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344.7799987792969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839.0800170898438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1249.430053710938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96.44000244140625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243.5249938964844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704.5750122070312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133.3200073242188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1375.207397460938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767.6300048828125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657.25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347.4812927246094</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540.239990234375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55.61999893188477</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237.7357940673828</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37.10240173339844</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217.2400054931641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50.41500091552734</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242.0187072753906</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74.72499847412109</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334.5299987792969</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23.27499961853027</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534.260009765625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69.73000335693359</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72.37000274658203</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130.0399932861328</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32.03950119018555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165.1049957275391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368.7300109863281</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316.510009765625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357.3099975585937</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sheetData>
  <autoFilter ref="A1:O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54738.38526770313</v>
      </c>
      <c r="D12" s="7">
        <f>IF(C11&gt;0,(B12-B11)/C11,"")</f>
        <v/>
      </c>
      <c r="E12" s="3">
        <f>B12-$B$2</f>
        <v/>
      </c>
      <c r="F12" s="7">
        <f>IF(C12&gt;0,E12/C12,"")</f>
        <v/>
      </c>
    </row>
    <row r="13">
      <c r="A13" s="2" t="inlineStr">
        <is>
          <t>2026-10-16</t>
        </is>
      </c>
      <c r="B13" s="12" t="n">
        <v>98144.96000000001</v>
      </c>
      <c r="C13" s="12" t="n">
        <v>54738.38526770313</v>
      </c>
      <c r="D13" s="7">
        <f>IF(C12&gt;0,(B13-B12)/C12,"")</f>
        <v/>
      </c>
      <c r="E13" s="3">
        <f>B13-$B$2</f>
        <v/>
      </c>
      <c r="F13" s="7">
        <f>IF(C13&gt;0,E13/C13,"")</f>
        <v/>
      </c>
    </row>
  </sheetData>
  <autoFilter ref="A1:F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sheetData>
  <autoFilter ref="A1:F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2026-10-19T18:58:18Z</dcterms:created>
  <dcterms:modified xmlns:dcterms="http://purl.org/dc/terms/" xmlns:xsi="http://www.w3.org/2001/XMLSchema-instance" xsi:type="dcterms:W3CDTF">2026-10-19T18:58:21Z</dcterms:modified>
</cp:coreProperties>
</file>