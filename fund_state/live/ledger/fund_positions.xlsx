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'Account'!$A$1:$F$22</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2026-10-30 15:46 ET)</t>
        </is>
      </c>
      <c r="B2" s="3" t="n">
        <v>98054.4471</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1027.287099999998</v>
      </c>
    </row>
    <row r="7">
      <c r="A7" s="2" t="inlineStr">
        <is>
          <t>Dividends, fees &amp; interest</t>
        </is>
      </c>
      <c r="B7" s="3" t="n">
        <v>-4.019999999999998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343.94</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323.6</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171.46</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253.55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69.73</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41.855</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326.6075</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358.415</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51.935</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1006.62</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279.1099</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118.885</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362.05</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220.555</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523.86</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61.825</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34.605</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32.46</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753.7</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398.7125</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396.97</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753.73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849.53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873.84</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873.84</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61.81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542.8</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106.71</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134.39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753.73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753.73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753.73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753.73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499.08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499.08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323.56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323.56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323.56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171.425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261.015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279.065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54.58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838.12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1413.83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194.47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203.24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203.24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542.8</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106.71</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257.39</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614.3099999999999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38.575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137.76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137.76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1141.54</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1141.54</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635.285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366.04</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323.54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171.425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542.8</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261.015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279.075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837.6799999999999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1413.825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106.705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257.35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614.34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137.73</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1141.54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753.71</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635.285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365.81</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32.45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312.86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524.04</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61.825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203.2</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70.79000000000001</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129.54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398.815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498.88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49.895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228.365</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79.645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54.58</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335.675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24.375</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168.73</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498.88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614.34</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323.54</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171.425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228.365</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173.41</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194.47</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38.575</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123.545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186.715</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31.85</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238.41</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524.04</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323.54</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171.425</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279.075</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753.71</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524.04</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61.825</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32.45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398.815</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343.945</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51.935</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118.88</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34.605</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253.34</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69.73</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41.855</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326.41</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357.94</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1006.62</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362.06</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220.4</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397.33</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row r="22">
      <c r="A22" s="2" t="inlineStr">
        <is>
          <t>2026-10-29</t>
        </is>
      </c>
      <c r="B22" s="12" t="n">
        <v>99075.08</v>
      </c>
      <c r="C22" s="12" t="n">
        <v>128301.0705273445</v>
      </c>
      <c r="D22" s="7">
        <f>IF(C21&gt;0,(B22-B21)/C21,"")</f>
        <v/>
      </c>
      <c r="E22" s="3">
        <f>B22-$B$2</f>
        <v/>
      </c>
      <c r="F22" s="7">
        <f>IF(C22&gt;0,E22/C22,"")</f>
        <v/>
      </c>
    </row>
  </sheetData>
  <autoFilter ref="A1:F2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2026-10-30T19:46:09Z</dcterms:created>
  <dcterms:modified xmlns:dcterms="http://purl.org/dc/terms/" xmlns:xsi="http://www.w3.org/2001/XMLSchema-instance" xsi:type="dcterms:W3CDTF">2026-10-30T19:46:17Z</dcterms:modified>
</cp:coreProperties>
</file>