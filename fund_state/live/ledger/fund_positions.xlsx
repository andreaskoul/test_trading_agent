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trades'!$A$1:$H$57</definedName>
    <definedName name="_xlnm._FilterDatabase" localSheetId="3" hidden="1">'Positions'!$A$1:$Q$90</definedName>
    <definedName name="_xlnm._FilterDatabase" localSheetId="4" hidden="1">'Orders'!$A$1:$O$146</definedName>
    <definedName name="_xlnm._FilterDatabase" localSheetId="5" hidden="1">'Account'!$A$1:$F$19</definedName>
    <definedName name="_xlnm._FilterDatabase" localSheetId="6" hidden="1">'Cash activity'!$A$1:$F$27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2026-10-27 15:16 ET)</t>
        </is>
      </c>
      <c r="B2" s="3" t="n">
        <v>98976.69</v>
      </c>
    </row>
    <row r="3">
      <c r="A3" s="2" t="inlineStr">
        <is>
          <t>Net deposits</t>
        </is>
      </c>
      <c r="B3" s="3" t="n">
        <v>100000</v>
      </c>
    </row>
    <row r="4">
      <c r="A4" s="2" t="inlineStr">
        <is>
          <t>Account P&amp;L</t>
        </is>
      </c>
      <c r="B4" s="3">
        <f>B2-B3</f>
        <v/>
      </c>
    </row>
    <row r="5">
      <c r="A5" s="2" t="inlineStr">
        <is>
          <t>Realized P&amp;L (closed shares, FIFO)</t>
        </is>
      </c>
      <c r="B5" s="3" t="n">
        <v>-980.429999999998</v>
      </c>
    </row>
    <row r="6">
      <c r="A6" s="2" t="inlineStr">
        <is>
          <t>Unrealized P&amp;L (open shares at Alpaca marks)</t>
        </is>
      </c>
      <c r="B6" s="3" t="n">
        <v>-38.52999999999724</v>
      </c>
    </row>
    <row r="7">
      <c r="A7" s="2" t="inlineStr">
        <is>
          <t>Dividends, fees &amp; interest</t>
        </is>
      </c>
      <c r="B7" s="3" t="n">
        <v>-4.349999999999999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347.205</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342.88</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169.08</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27.975</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241.5</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52.045</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119.11</v>
      </c>
      <c r="H8" s="6">
        <f>D8*G8</f>
        <v/>
      </c>
      <c r="I8" s="3">
        <f>D8*(G8-F8)</f>
        <v/>
      </c>
      <c r="J8" s="7">
        <f>IF(D8&gt;0,1,-1)*(G8/F8-1)</f>
        <v/>
      </c>
    </row>
    <row r="9">
      <c r="A9" s="2" t="inlineStr">
        <is>
          <t>LRCX</t>
        </is>
      </c>
      <c r="B9" s="2" t="inlineStr">
        <is>
          <t>LRCX</t>
        </is>
      </c>
      <c r="C9" s="2" t="inlineStr">
        <is>
          <t>Short</t>
        </is>
      </c>
      <c r="D9" s="4" t="n">
        <v>-7</v>
      </c>
      <c r="E9" s="2" t="inlineStr">
        <is>
          <t>2026-10-22</t>
        </is>
      </c>
      <c r="F9" s="5" t="n">
        <v>230.03</v>
      </c>
      <c r="G9" s="5" t="n">
        <v>240.825</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171.795</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242.5</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531.5599999999999</v>
      </c>
      <c r="H12" s="6">
        <f>D12*G12</f>
        <v/>
      </c>
      <c r="I12" s="3">
        <f>D12*(G12-F12)</f>
        <v/>
      </c>
      <c r="J12" s="7">
        <f>IF(D12&gt;0,1,-1)*(G12/F12-1)</f>
        <v/>
      </c>
    </row>
    <row r="13">
      <c r="A13" s="2" t="inlineStr">
        <is>
          <t>NFLX</t>
        </is>
      </c>
      <c r="B13" s="2" t="inlineStr">
        <is>
          <t>NFLX</t>
        </is>
      </c>
      <c r="C13" s="2" t="inlineStr">
        <is>
          <t>Short</t>
        </is>
      </c>
      <c r="D13" s="4" t="n">
        <v>-67</v>
      </c>
      <c r="E13" s="2" t="inlineStr">
        <is>
          <t>2026-10-22</t>
        </is>
      </c>
      <c r="F13" s="5" t="n">
        <v>65.86089552238806</v>
      </c>
      <c r="G13" s="5" t="n">
        <v>62.785</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37.435</v>
      </c>
      <c r="H14" s="6">
        <f>D14*G14</f>
        <v/>
      </c>
      <c r="I14" s="3">
        <f>D14*(G14-F14)</f>
        <v/>
      </c>
      <c r="J14" s="7">
        <f>IF(D14&gt;0,1,-1)*(G14/F14-1)</f>
        <v/>
      </c>
    </row>
    <row r="15">
      <c r="A15" s="2" t="inlineStr">
        <is>
          <t>ROL</t>
        </is>
      </c>
      <c r="B15" s="2" t="inlineStr">
        <is>
          <t>ROL</t>
        </is>
      </c>
      <c r="C15" s="2" t="inlineStr">
        <is>
          <t>Short</t>
        </is>
      </c>
      <c r="D15" s="4" t="n">
        <v>-283</v>
      </c>
      <c r="E15" s="2" t="inlineStr">
        <is>
          <t>2026-10-22</t>
        </is>
      </c>
      <c r="F15" s="5" t="n">
        <v>35.04272084805654</v>
      </c>
      <c r="G15" s="5" t="n">
        <v>33.905</v>
      </c>
      <c r="H15" s="6">
        <f>D15*G15</f>
        <v/>
      </c>
      <c r="I15" s="3">
        <f>D15*(G15-F15)</f>
        <v/>
      </c>
      <c r="J15" s="7">
        <f>IF(D15&gt;0,1,-1)*(G15/F15-1)</f>
        <v/>
      </c>
    </row>
    <row r="16">
      <c r="A16" s="2" t="inlineStr">
        <is>
          <t>SMCI</t>
        </is>
      </c>
      <c r="B16" s="2" t="inlineStr">
        <is>
          <t>SMCI</t>
        </is>
      </c>
      <c r="C16" s="2" t="inlineStr">
        <is>
          <t>Long</t>
        </is>
      </c>
      <c r="D16" s="4" t="n">
        <v>266</v>
      </c>
      <c r="E16" s="2" t="inlineStr">
        <is>
          <t>2026-10-22</t>
        </is>
      </c>
      <c r="F16" s="5" t="n">
        <v>33.4584962406015</v>
      </c>
      <c r="G16" s="5" t="n">
        <v>35.01</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770.28</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407.46</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119.195</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180.235</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sheetData>
  <autoFilter ref="A1:H5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770.16</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895.01</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933.14</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933.14</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62.775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543.83</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103.47</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131.055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770.16</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770.16</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770.16</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770.16</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558.97</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558.97</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342.65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342.65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342.65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169.025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259.59</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323.445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60.77</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868.615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1279.525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242.4</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217.675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217.675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543.83</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103.47</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250.07</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623.59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37.425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132.87</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132.87</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1300.5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1300.5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676.22</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382.1</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342.69</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169.025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543.84</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259.76</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323.51</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868.615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1279.525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103.47</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250.07</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623.72</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132.875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1300.5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770.16</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676.21</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382.1</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35.005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312.87</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531.52</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62.785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217.725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78.94</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131.8</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407.325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558.97</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50.69</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241.44</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81.145</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60.76</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336.345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24.085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171.385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558.97</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623.72</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342.69</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169.025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242.5</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37.435</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770.16</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241.44</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531.52</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-67</v>
      </c>
      <c r="J79" s="5" t="n">
        <v>65.86089552238806</v>
      </c>
      <c r="K79" s="5" t="n"/>
      <c r="L79" s="5" t="n">
        <v>62.785</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266</v>
      </c>
      <c r="J80" s="5" t="n">
        <v>33.45947565543072</v>
      </c>
      <c r="K80" s="5" t="n"/>
      <c r="L80" s="5" t="n">
        <v>35.005</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407.325</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347.16</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27.985</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52.035</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119.08</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-7</v>
      </c>
      <c r="J86" s="5" t="n">
        <v>230.03</v>
      </c>
      <c r="K86" s="5" t="n"/>
      <c r="L86" s="5" t="n">
        <v>240.76</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171.83</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-283</v>
      </c>
      <c r="J88" s="5" t="n">
        <v>35.04272084805654</v>
      </c>
      <c r="K88" s="5" t="n"/>
      <c r="L88" s="5" t="n">
        <v>33.9</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119.2</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180.245</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sheetData>
  <autoFilter ref="A1:O1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sheetData>
  <autoFilter ref="A1:F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sheetData>
  <autoFilter ref="A1:F2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2026-10-27T19:16:00Z</dcterms:created>
  <dcterms:modified xmlns:dcterms="http://purl.org/dc/terms/" xmlns:xsi="http://www.w3.org/2001/XMLSchema-instance" xsi:type="dcterms:W3CDTF">2026-10-27T19:16:11Z</dcterms:modified>
</cp:coreProperties>
</file>