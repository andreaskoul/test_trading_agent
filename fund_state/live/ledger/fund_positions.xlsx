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mp;L summary" sheetId="1" state="visible" r:id="rId1"/>
    <sheet xmlns:r="http://schemas.openxmlformats.org/officeDocument/2006/relationships" name="Open positions" sheetId="2" state="visible" r:id="rId2"/>
    <sheet xmlns:r="http://schemas.openxmlformats.org/officeDocument/2006/relationships" name="Realized trades" sheetId="3" state="visible" r:id="rId3"/>
    <sheet xmlns:r="http://schemas.openxmlformats.org/officeDocument/2006/relationships" name="Positions" sheetId="4" state="visible" r:id="rId4"/>
    <sheet xmlns:r="http://schemas.openxmlformats.org/officeDocument/2006/relationships" name="Orders" sheetId="5" state="visible" r:id="rId5"/>
    <sheet xmlns:r="http://schemas.openxmlformats.org/officeDocument/2006/relationships" name="Account" sheetId="6" state="visible" r:id="rId6"/>
    <sheet xmlns:r="http://schemas.openxmlformats.org/officeDocument/2006/relationships" name="Cash activity" sheetId="7" state="visible" r:id="rId7"/>
    <sheet xmlns:r="http://schemas.openxmlformats.org/officeDocument/2006/relationships" name="Notes" sheetId="8" state="visible" r:id="rId8"/>
  </sheets>
  <definedNames>
    <definedName name="_xlnm._FilterDatabase" localSheetId="0" hidden="1">'P&amp;L summary'!$A$1:$B$8</definedName>
    <definedName name="_xlnm._FilterDatabase" localSheetId="1" hidden="1">'Open positions'!$A$1:$J$19</definedName>
    <definedName name="_xlnm._FilterDatabase" localSheetId="2" hidden="1">'Realized trades'!$A$1:$H$34</definedName>
    <definedName name="_xlnm._FilterDatabase" localSheetId="3" hidden="1">'Positions'!$A$1:$Q$71</definedName>
    <definedName name="_xlnm._FilterDatabase" localSheetId="4" hidden="1">'Orders'!$A$1:$O$92</definedName>
    <definedName name="_xlnm._FilterDatabase" localSheetId="5" hidden="1">'Account'!$A$1:$F$14</definedName>
    <definedName name="_xlnm._FilterDatabase" localSheetId="6" hidden="1">'Cash activity'!$A$1:$F$17</definedName>
  </definedNames>
  <calcPr calcId="124519" fullCalcOnLoad="1"/>
</workbook>
</file>

<file path=xl/styles.xml><?xml version="1.0" encoding="utf-8"?>
<styleSheet xmlns="http://schemas.openxmlformats.org/spreadsheetml/2006/main">
  <numFmts count="7">
    <numFmt numFmtId="164" formatCode="#,##0;-#,##0;-"/>
    <numFmt numFmtId="165" formatCode="0.00%;-0.00%;-"/>
    <numFmt numFmtId="166" formatCode="#,##0;(#,##0);-"/>
    <numFmt numFmtId="167" formatCode="0.0"/>
    <numFmt numFmtId="168" formatCode="$#,##0"/>
    <numFmt numFmtId="169" formatCode="#,##0.00;(#,##0.00);-"/>
    <numFmt numFmtId="170" formatCode="#,##0.0000"/>
  </numFmts>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169" fontId="2" fillId="0" borderId="0" pivotButton="0" quotePrefix="0" xfId="0"/>
    <xf numFmtId="164" fontId="2" fillId="0" borderId="0" pivotButton="0" quotePrefix="0" xfId="0"/>
    <xf numFmtId="4" fontId="2" fillId="0" borderId="0" pivotButton="0" quotePrefix="0" xfId="0"/>
    <xf numFmtId="166" fontId="2" fillId="0" borderId="0" pivotButton="0" quotePrefix="0" xfId="0"/>
    <xf numFmtId="165" fontId="2" fillId="0" borderId="0" pivotButton="0" quotePrefix="0" xfId="0"/>
    <xf numFmtId="2" fontId="2" fillId="0" borderId="0" pivotButton="0" quotePrefix="0" xfId="0"/>
    <xf numFmtId="0" fontId="2" fillId="0" borderId="0" applyAlignment="1" pivotButton="0" quotePrefix="0" xfId="0">
      <alignment/>
    </xf>
    <xf numFmtId="3" fontId="2" fillId="0" borderId="0" pivotButton="0" quotePrefix="0" xfId="0"/>
    <xf numFmtId="167" fontId="2" fillId="0" borderId="0" pivotButton="0" quotePrefix="0" xfId="0"/>
    <xf numFmtId="168" fontId="2" fillId="0" borderId="0" pivotButton="0" quotePrefix="0" xfId="0"/>
    <xf numFmtId="17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pane="topRight"/>
      <selection pane="bottomLeft"/>
      <selection pane="bottomRight" activeCell="A1" sqref="A1"/>
    </sheetView>
  </sheetViews>
  <sheetFormatPr baseColWidth="8" defaultRowHeight="15"/>
  <cols>
    <col width="48" customWidth="1" min="1" max="1"/>
    <col width="14" customWidth="1" min="2" max="2"/>
  </cols>
  <sheetData>
    <row r="1" ht="30" customHeight="1">
      <c r="A1" s="1" t="inlineStr">
        <is>
          <t>Item</t>
        </is>
      </c>
      <c r="B1" s="1" t="inlineStr">
        <is>
          <t>$</t>
        </is>
      </c>
    </row>
    <row r="2">
      <c r="A2" s="2" t="inlineStr">
        <is>
          <t>Account value (Alpaca, 2026-10-20 12:16 ET)</t>
        </is>
      </c>
      <c r="B2" s="3" t="n">
        <v>98084.6636</v>
      </c>
    </row>
    <row r="3">
      <c r="A3" s="2" t="inlineStr">
        <is>
          <t>Net deposits</t>
        </is>
      </c>
      <c r="B3" s="3" t="n">
        <v>100000</v>
      </c>
    </row>
    <row r="4">
      <c r="A4" s="2" t="inlineStr">
        <is>
          <t>Account P&amp;L</t>
        </is>
      </c>
      <c r="B4" s="3">
        <f>B2-B3</f>
        <v/>
      </c>
    </row>
    <row r="5">
      <c r="A5" s="2" t="inlineStr">
        <is>
          <t>Realized P&amp;L (closed shares, FIFO)</t>
        </is>
      </c>
      <c r="B5" s="3" t="n">
        <v>-15.25999999999794</v>
      </c>
    </row>
    <row r="6">
      <c r="A6" s="2" t="inlineStr">
        <is>
          <t>Unrealized P&amp;L (open shares at Alpaca marks)</t>
        </is>
      </c>
      <c r="B6" s="3" t="n">
        <v>-1897.706400000002</v>
      </c>
    </row>
    <row r="7">
      <c r="A7" s="2" t="inlineStr">
        <is>
          <t>Dividends, fees &amp; interest</t>
        </is>
      </c>
      <c r="B7" s="3" t="n">
        <v>-2.37</v>
      </c>
    </row>
    <row r="8">
      <c r="A8" s="2" t="inlineStr">
        <is>
          <t>Unexplained (should be 0)</t>
        </is>
      </c>
      <c r="B8" s="3">
        <f>B4-B5-B6-B7</f>
        <v/>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s>
  <sheetData>
    <row r="1" ht="30" customHeight="1">
      <c r="A1" s="1" t="inlineStr">
        <is>
          <t>Ticker</t>
        </is>
      </c>
      <c r="B1" s="1" t="inlineStr">
        <is>
          <t>Name</t>
        </is>
      </c>
      <c r="C1" s="1" t="inlineStr">
        <is>
          <t>Side</t>
        </is>
      </c>
      <c r="D1" s="1" t="inlineStr">
        <is>
          <t>Shares (signed)</t>
        </is>
      </c>
      <c r="E1" s="1" t="inlineStr">
        <is>
          <t>Open since</t>
        </is>
      </c>
      <c r="F1" s="1" t="inlineStr">
        <is>
          <t>Average cost ($, FIFO)</t>
        </is>
      </c>
      <c r="G1" s="1" t="inlineStr">
        <is>
          <t>Mark ($)</t>
        </is>
      </c>
      <c r="H1" s="1" t="inlineStr">
        <is>
          <t>Market value ($)</t>
        </is>
      </c>
      <c r="I1" s="1" t="inlineStr">
        <is>
          <t>Unrealized P&amp;L ($)</t>
        </is>
      </c>
      <c r="J1" s="1" t="inlineStr">
        <is>
          <t>Return (%)</t>
        </is>
      </c>
    </row>
    <row r="2">
      <c r="A2" s="2" t="inlineStr">
        <is>
          <t>AMD</t>
        </is>
      </c>
      <c r="B2" s="2" t="inlineStr">
        <is>
          <t>AMD</t>
        </is>
      </c>
      <c r="C2" s="2" t="inlineStr">
        <is>
          <t>Long</t>
        </is>
      </c>
      <c r="D2" s="4" t="n">
        <v>6</v>
      </c>
      <c r="E2" s="2" t="inlineStr">
        <is>
          <t>2026-10-08</t>
        </is>
      </c>
      <c r="F2" s="5" t="n">
        <v>582.0666666666667</v>
      </c>
      <c r="G2" s="5" t="n">
        <v>542.4</v>
      </c>
      <c r="H2" s="6">
        <f>D2*G2</f>
        <v/>
      </c>
      <c r="I2" s="3">
        <f>D2*(G2-F2)</f>
        <v/>
      </c>
      <c r="J2" s="7">
        <f>IF(D2&gt;0,1,-1)*(G2/F2-1)</f>
        <v/>
      </c>
    </row>
    <row r="3">
      <c r="A3" s="2" t="inlineStr">
        <is>
          <t>BAC</t>
        </is>
      </c>
      <c r="B3" s="2" t="inlineStr">
        <is>
          <t>BAC</t>
        </is>
      </c>
      <c r="C3" s="2" t="inlineStr">
        <is>
          <t>Short</t>
        </is>
      </c>
      <c r="D3" s="4" t="n">
        <v>-68</v>
      </c>
      <c r="E3" s="2" t="inlineStr">
        <is>
          <t>2026-10-15</t>
        </is>
      </c>
      <c r="F3" s="5" t="n">
        <v>51.19367647058824</v>
      </c>
      <c r="G3" s="5" t="n">
        <v>51.045</v>
      </c>
      <c r="H3" s="6">
        <f>D3*G3</f>
        <v/>
      </c>
      <c r="I3" s="3">
        <f>D3*(G3-F3)</f>
        <v/>
      </c>
      <c r="J3" s="7">
        <f>IF(D3&gt;0,1,-1)*(G3/F3-1)</f>
        <v/>
      </c>
    </row>
    <row r="4">
      <c r="A4" s="2" t="inlineStr">
        <is>
          <t>CRM</t>
        </is>
      </c>
      <c r="B4" s="2" t="inlineStr">
        <is>
          <t>CRM</t>
        </is>
      </c>
      <c r="C4" s="2" t="inlineStr">
        <is>
          <t>Long</t>
        </is>
      </c>
      <c r="D4" s="4" t="n">
        <v>12</v>
      </c>
      <c r="E4" s="2" t="inlineStr">
        <is>
          <t>2026-10-15</t>
        </is>
      </c>
      <c r="F4" s="5" t="n">
        <v>246.6791666666667</v>
      </c>
      <c r="G4" s="5" t="n">
        <v>239.565</v>
      </c>
      <c r="H4" s="6">
        <f>D4*G4</f>
        <v/>
      </c>
      <c r="I4" s="3">
        <f>D4*(G4-F4)</f>
        <v/>
      </c>
      <c r="J4" s="7">
        <f>IF(D4&gt;0,1,-1)*(G4/F4-1)</f>
        <v/>
      </c>
    </row>
    <row r="5">
      <c r="A5" s="2" t="inlineStr">
        <is>
          <t>DAL</t>
        </is>
      </c>
      <c r="B5" s="2" t="inlineStr">
        <is>
          <t>DAL</t>
        </is>
      </c>
      <c r="C5" s="2" t="inlineStr">
        <is>
          <t>Short</t>
        </is>
      </c>
      <c r="D5" s="4" t="n">
        <v>-95</v>
      </c>
      <c r="E5" s="2" t="inlineStr">
        <is>
          <t>2026-10-15</t>
        </is>
      </c>
      <c r="F5" s="5" t="n">
        <v>76.79842105263157</v>
      </c>
      <c r="G5" s="5" t="n">
        <v>76.75</v>
      </c>
      <c r="H5" s="6">
        <f>D5*G5</f>
        <v/>
      </c>
      <c r="I5" s="3">
        <f>D5*(G5-F5)</f>
        <v/>
      </c>
      <c r="J5" s="7">
        <f>IF(D5&gt;0,1,-1)*(G5/F5-1)</f>
        <v/>
      </c>
    </row>
    <row r="6">
      <c r="A6" s="2" t="inlineStr">
        <is>
          <t>HPE</t>
        </is>
      </c>
      <c r="B6" s="2" t="inlineStr">
        <is>
          <t>HPE</t>
        </is>
      </c>
      <c r="C6" s="2" t="inlineStr">
        <is>
          <t>Long</t>
        </is>
      </c>
      <c r="D6" s="4" t="n">
        <v>36</v>
      </c>
      <c r="E6" s="2" t="inlineStr">
        <is>
          <t>2026-10-08</t>
        </is>
      </c>
      <c r="F6" s="5" t="n">
        <v>70.92</v>
      </c>
      <c r="G6" s="5" t="n">
        <v>56.35</v>
      </c>
      <c r="H6" s="6">
        <f>D6*G6</f>
        <v/>
      </c>
      <c r="I6" s="3">
        <f>D6*(G6-F6)</f>
        <v/>
      </c>
      <c r="J6" s="7">
        <f>IF(D6&gt;0,1,-1)*(G6/F6-1)</f>
        <v/>
      </c>
    </row>
    <row r="7">
      <c r="A7" s="2" t="inlineStr">
        <is>
          <t>JPM</t>
        </is>
      </c>
      <c r="B7" s="2" t="inlineStr">
        <is>
          <t>JPM</t>
        </is>
      </c>
      <c r="C7" s="2" t="inlineStr">
        <is>
          <t>Short</t>
        </is>
      </c>
      <c r="D7" s="4" t="n">
        <v>-7</v>
      </c>
      <c r="E7" s="2" t="inlineStr">
        <is>
          <t>2026-10-15</t>
        </is>
      </c>
      <c r="F7" s="5" t="n">
        <v>335.42</v>
      </c>
      <c r="G7" s="5" t="n">
        <v>336.355</v>
      </c>
      <c r="H7" s="6">
        <f>D7*G7</f>
        <v/>
      </c>
      <c r="I7" s="3">
        <f>D7*(G7-F7)</f>
        <v/>
      </c>
      <c r="J7" s="7">
        <f>IF(D7&gt;0,1,-1)*(G7/F7-1)</f>
        <v/>
      </c>
    </row>
    <row r="8">
      <c r="A8" s="2" t="inlineStr">
        <is>
          <t>KHC</t>
        </is>
      </c>
      <c r="B8" s="2" t="inlineStr">
        <is>
          <t>KHC</t>
        </is>
      </c>
      <c r="C8" s="2" t="inlineStr">
        <is>
          <t>Short</t>
        </is>
      </c>
      <c r="D8" s="4" t="n">
        <v>-101</v>
      </c>
      <c r="E8" s="2" t="inlineStr">
        <is>
          <t>2026-10-15</t>
        </is>
      </c>
      <c r="F8" s="5" t="n">
        <v>23.23999999999999</v>
      </c>
      <c r="G8" s="5" t="n">
        <v>23.69</v>
      </c>
      <c r="H8" s="6">
        <f>D8*G8</f>
        <v/>
      </c>
      <c r="I8" s="3">
        <f>D8*(G8-F8)</f>
        <v/>
      </c>
      <c r="J8" s="7">
        <f>IF(D8&gt;0,1,-1)*(G8/F8-1)</f>
        <v/>
      </c>
    </row>
    <row r="9">
      <c r="A9" s="2" t="inlineStr">
        <is>
          <t>MRVL</t>
        </is>
      </c>
      <c r="B9" s="2" t="inlineStr">
        <is>
          <t>MRVL</t>
        </is>
      </c>
      <c r="C9" s="2" t="inlineStr">
        <is>
          <t>Long</t>
        </is>
      </c>
      <c r="D9" s="4" t="n">
        <v>21</v>
      </c>
      <c r="E9" s="2" t="inlineStr">
        <is>
          <t>2026-10-08</t>
        </is>
      </c>
      <c r="F9" s="5" t="n">
        <v>274.6185714285714</v>
      </c>
      <c r="G9" s="5" t="n">
        <v>241.468</v>
      </c>
      <c r="H9" s="6">
        <f>D9*G9</f>
        <v/>
      </c>
      <c r="I9" s="3">
        <f>D9*(G9-F9)</f>
        <v/>
      </c>
      <c r="J9" s="7">
        <f>IF(D9&gt;0,1,-1)*(G9/F9-1)</f>
        <v/>
      </c>
    </row>
    <row r="10">
      <c r="A10" s="2" t="inlineStr">
        <is>
          <t>MSFT</t>
        </is>
      </c>
      <c r="B10" s="2" t="inlineStr">
        <is>
          <t>MSFT</t>
        </is>
      </c>
      <c r="C10" s="2" t="inlineStr">
        <is>
          <t>Long</t>
        </is>
      </c>
      <c r="D10" s="4" t="n">
        <v>7</v>
      </c>
      <c r="E10" s="2" t="inlineStr">
        <is>
          <t>2026-10-15</t>
        </is>
      </c>
      <c r="F10" s="5" t="n">
        <v>536.6514285714285</v>
      </c>
      <c r="G10" s="5" t="n">
        <v>532.045</v>
      </c>
      <c r="H10" s="6">
        <f>D10*G10</f>
        <v/>
      </c>
      <c r="I10" s="3">
        <f>D10*(G10-F10)</f>
        <v/>
      </c>
      <c r="J10" s="7">
        <f>IF(D10&gt;0,1,-1)*(G10/F10-1)</f>
        <v/>
      </c>
    </row>
    <row r="11">
      <c r="A11" s="2" t="inlineStr">
        <is>
          <t>NFLX</t>
        </is>
      </c>
      <c r="B11" s="2" t="inlineStr">
        <is>
          <t>NFLX</t>
        </is>
      </c>
      <c r="C11" s="2" t="inlineStr">
        <is>
          <t>Short</t>
        </is>
      </c>
      <c r="D11" s="4" t="n">
        <v>-15</v>
      </c>
      <c r="E11" s="2" t="inlineStr">
        <is>
          <t>2026-10-15</t>
        </is>
      </c>
      <c r="F11" s="5" t="n">
        <v>72.61</v>
      </c>
      <c r="G11" s="5" t="n">
        <v>69.72499999999999</v>
      </c>
      <c r="H11" s="6">
        <f>D11*G11</f>
        <v/>
      </c>
      <c r="I11" s="3">
        <f>D11*(G11-F11)</f>
        <v/>
      </c>
      <c r="J11" s="7">
        <f>IF(D11&gt;0,1,-1)*(G11/F11-1)</f>
        <v/>
      </c>
    </row>
    <row r="12">
      <c r="A12" s="2" t="inlineStr">
        <is>
          <t>NKE</t>
        </is>
      </c>
      <c r="B12" s="2" t="inlineStr">
        <is>
          <t>NKE</t>
        </is>
      </c>
      <c r="C12" s="2" t="inlineStr">
        <is>
          <t>Short</t>
        </is>
      </c>
      <c r="D12" s="4" t="n">
        <v>-187</v>
      </c>
      <c r="E12" s="2" t="inlineStr">
        <is>
          <t>2026-10-08</t>
        </is>
      </c>
      <c r="F12" s="5" t="n">
        <v>34.76117647058824</v>
      </c>
      <c r="G12" s="5" t="n">
        <v>37.77</v>
      </c>
      <c r="H12" s="6">
        <f>D12*G12</f>
        <v/>
      </c>
      <c r="I12" s="3">
        <f>D12*(G12-F12)</f>
        <v/>
      </c>
      <c r="J12" s="7">
        <f>IF(D12&gt;0,1,-1)*(G12/F12-1)</f>
        <v/>
      </c>
    </row>
    <row r="13">
      <c r="A13" s="2" t="inlineStr">
        <is>
          <t>NVDA</t>
        </is>
      </c>
      <c r="B13" s="2" t="inlineStr">
        <is>
          <t>NVDA</t>
        </is>
      </c>
      <c r="C13" s="2" t="inlineStr">
        <is>
          <t>Long</t>
        </is>
      </c>
      <c r="D13" s="4" t="n">
        <v>11</v>
      </c>
      <c r="E13" s="2" t="inlineStr">
        <is>
          <t>2026-10-08</t>
        </is>
      </c>
      <c r="F13" s="5" t="n">
        <v>225.71</v>
      </c>
      <c r="G13" s="5" t="n">
        <v>217.0646</v>
      </c>
      <c r="H13" s="6">
        <f>D13*G13</f>
        <v/>
      </c>
      <c r="I13" s="3">
        <f>D13*(G13-F13)</f>
        <v/>
      </c>
      <c r="J13" s="7">
        <f>IF(D13&gt;0,1,-1)*(G13/F13-1)</f>
        <v/>
      </c>
    </row>
    <row r="14">
      <c r="A14" s="2" t="inlineStr">
        <is>
          <t>ON</t>
        </is>
      </c>
      <c r="B14" s="2" t="inlineStr">
        <is>
          <t>ON</t>
        </is>
      </c>
      <c r="C14" s="2" t="inlineStr">
        <is>
          <t>Long</t>
        </is>
      </c>
      <c r="D14" s="4" t="n">
        <v>37</v>
      </c>
      <c r="E14" s="2" t="inlineStr">
        <is>
          <t>2026-10-15</t>
        </is>
      </c>
      <c r="F14" s="5" t="n">
        <v>73.81</v>
      </c>
      <c r="G14" s="5" t="n">
        <v>75.65000000000001</v>
      </c>
      <c r="H14" s="6">
        <f>D14*G14</f>
        <v/>
      </c>
      <c r="I14" s="3">
        <f>D14*(G14-F14)</f>
        <v/>
      </c>
      <c r="J14" s="7">
        <f>IF(D14&gt;0,1,-1)*(G14/F14-1)</f>
        <v/>
      </c>
    </row>
    <row r="15">
      <c r="A15" s="2" t="inlineStr">
        <is>
          <t>ORCL</t>
        </is>
      </c>
      <c r="B15" s="2" t="inlineStr">
        <is>
          <t>ORCL</t>
        </is>
      </c>
      <c r="C15" s="2" t="inlineStr">
        <is>
          <t>Short</t>
        </is>
      </c>
      <c r="D15" s="4" t="n">
        <v>-29</v>
      </c>
      <c r="E15" s="2" t="inlineStr">
        <is>
          <t>2026-10-15</t>
        </is>
      </c>
      <c r="F15" s="5" t="n">
        <v>134.6575862068966</v>
      </c>
      <c r="G15" s="5" t="n">
        <v>132.445</v>
      </c>
      <c r="H15" s="6">
        <f>D15*G15</f>
        <v/>
      </c>
      <c r="I15" s="3">
        <f>D15*(G15-F15)</f>
        <v/>
      </c>
      <c r="J15" s="7">
        <f>IF(D15&gt;0,1,-1)*(G15/F15-1)</f>
        <v/>
      </c>
    </row>
    <row r="16">
      <c r="A16" s="2" t="inlineStr">
        <is>
          <t>SMCI</t>
        </is>
      </c>
      <c r="B16" s="2" t="inlineStr">
        <is>
          <t>SMCI</t>
        </is>
      </c>
      <c r="C16" s="2" t="inlineStr">
        <is>
          <t>Short</t>
        </is>
      </c>
      <c r="D16" s="4" t="n">
        <v>-61</v>
      </c>
      <c r="E16" s="2" t="inlineStr">
        <is>
          <t>2026-10-15</t>
        </is>
      </c>
      <c r="F16" s="5" t="n">
        <v>35.09459016393443</v>
      </c>
      <c r="G16" s="5" t="n">
        <v>32.155</v>
      </c>
      <c r="H16" s="6">
        <f>D16*G16</f>
        <v/>
      </c>
      <c r="I16" s="3">
        <f>D16*(G16-F16)</f>
        <v/>
      </c>
      <c r="J16" s="7">
        <f>IF(D16&gt;0,1,-1)*(G16/F16-1)</f>
        <v/>
      </c>
    </row>
    <row r="17">
      <c r="A17" s="2" t="inlineStr">
        <is>
          <t>STT</t>
        </is>
      </c>
      <c r="B17" s="2" t="inlineStr">
        <is>
          <t>STT</t>
        </is>
      </c>
      <c r="C17" s="2" t="inlineStr">
        <is>
          <t>Short</t>
        </is>
      </c>
      <c r="D17" s="4" t="n">
        <v>-14</v>
      </c>
      <c r="E17" s="2" t="inlineStr">
        <is>
          <t>2026-10-15</t>
        </is>
      </c>
      <c r="F17" s="5" t="n">
        <v>167.6371428571429</v>
      </c>
      <c r="G17" s="5" t="n">
        <v>167.38</v>
      </c>
      <c r="H17" s="6">
        <f>D17*G17</f>
        <v/>
      </c>
      <c r="I17" s="3">
        <f>D17*(G17-F17)</f>
        <v/>
      </c>
      <c r="J17" s="7">
        <f>IF(D17&gt;0,1,-1)*(G17/F17-1)</f>
        <v/>
      </c>
    </row>
    <row r="18">
      <c r="A18" s="2" t="inlineStr">
        <is>
          <t>TSLA</t>
        </is>
      </c>
      <c r="B18" s="2" t="inlineStr">
        <is>
          <t>TSLA</t>
        </is>
      </c>
      <c r="C18" s="2" t="inlineStr">
        <is>
          <t>Short</t>
        </is>
      </c>
      <c r="D18" s="4" t="n">
        <v>-4</v>
      </c>
      <c r="E18" s="2" t="inlineStr">
        <is>
          <t>2026-10-15</t>
        </is>
      </c>
      <c r="F18" s="5" t="n">
        <v>362.625</v>
      </c>
      <c r="G18" s="5" t="n">
        <v>373.835</v>
      </c>
      <c r="H18" s="6">
        <f>D18*G18</f>
        <v/>
      </c>
      <c r="I18" s="3">
        <f>D18*(G18-F18)</f>
        <v/>
      </c>
      <c r="J18" s="7">
        <f>IF(D18&gt;0,1,-1)*(G18/F18-1)</f>
        <v/>
      </c>
    </row>
    <row r="19">
      <c r="A19" s="2" t="inlineStr">
        <is>
          <t>VEEV</t>
        </is>
      </c>
      <c r="B19" s="2" t="inlineStr">
        <is>
          <t>VEEV</t>
        </is>
      </c>
      <c r="C19" s="2" t="inlineStr">
        <is>
          <t>Long</t>
        </is>
      </c>
      <c r="D19" s="4" t="n">
        <v>9</v>
      </c>
      <c r="E19" s="2" t="inlineStr">
        <is>
          <t>2026-10-15</t>
        </is>
      </c>
      <c r="F19" s="5" t="n">
        <v>313.1</v>
      </c>
      <c r="G19" s="5" t="n">
        <v>319.77</v>
      </c>
      <c r="H19" s="6">
        <f>D19*G19</f>
        <v/>
      </c>
      <c r="I19" s="3">
        <f>D19*(G19-F19)</f>
        <v/>
      </c>
      <c r="J19" s="7">
        <f>IF(D19&gt;0,1,-1)*(G19/F19-1)</f>
        <v/>
      </c>
    </row>
  </sheetData>
  <autoFilter ref="A1:J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6" customWidth="1" min="3" max="3"/>
    <col width="12" customWidth="1" min="4" max="4"/>
    <col width="12" customWidth="1" min="5" max="5"/>
    <col width="12" customWidth="1" min="6" max="6"/>
    <col width="12" customWidth="1" min="7" max="7"/>
    <col width="12" customWidth="1" min="8" max="8"/>
  </cols>
  <sheetData>
    <row r="1" ht="30" customHeight="1">
      <c r="A1" s="1" t="inlineStr">
        <is>
          <t>Day</t>
        </is>
      </c>
      <c r="B1" s="1" t="inlineStr">
        <is>
          <t>Ticker</t>
        </is>
      </c>
      <c r="C1" s="1" t="inlineStr">
        <is>
          <t>Name</t>
        </is>
      </c>
      <c r="D1" s="1" t="inlineStr">
        <is>
          <t>Closed</t>
        </is>
      </c>
      <c r="E1" s="1" t="inlineStr">
        <is>
          <t>Shares closed</t>
        </is>
      </c>
      <c r="F1" s="1" t="inlineStr">
        <is>
          <t>Cost ($/sh, FIFO)</t>
        </is>
      </c>
      <c r="G1" s="1" t="inlineStr">
        <is>
          <t>Close price ($)</t>
        </is>
      </c>
      <c r="H1" s="1" t="inlineStr">
        <is>
          <t>Realized P&amp;L ($)</t>
        </is>
      </c>
    </row>
    <row r="2">
      <c r="A2" s="2" t="inlineStr">
        <is>
          <t>2026-10-07</t>
        </is>
      </c>
      <c r="B2" s="2" t="inlineStr">
        <is>
          <t>SPY</t>
        </is>
      </c>
      <c r="C2" s="2" t="inlineStr">
        <is>
          <t>SPDR S&amp;P 500 ETF</t>
        </is>
      </c>
      <c r="D2" s="2" t="inlineStr">
        <is>
          <t>Long</t>
        </is>
      </c>
      <c r="E2" s="4" t="n">
        <v>1</v>
      </c>
      <c r="F2" s="5" t="n">
        <v>779.25</v>
      </c>
      <c r="G2" s="5" t="n">
        <v>777.3</v>
      </c>
      <c r="H2" s="3">
        <f>E2*(G2-F2)</f>
        <v/>
      </c>
    </row>
    <row r="3">
      <c r="A3" s="2" t="inlineStr">
        <is>
          <t>2026-10-07</t>
        </is>
      </c>
      <c r="B3" s="2" t="inlineStr">
        <is>
          <t>STZ</t>
        </is>
      </c>
      <c r="C3" s="2" t="inlineStr">
        <is>
          <t>Constellation Brands</t>
        </is>
      </c>
      <c r="D3" s="2" t="inlineStr">
        <is>
          <t>Short</t>
        </is>
      </c>
      <c r="E3" s="4" t="n">
        <v>-5</v>
      </c>
      <c r="F3" s="5" t="n">
        <v>112.95</v>
      </c>
      <c r="G3" s="5" t="n">
        <v>118.22</v>
      </c>
      <c r="H3" s="3">
        <f>E3*(G3-F3)</f>
        <v/>
      </c>
    </row>
    <row r="4">
      <c r="A4" s="2" t="inlineStr">
        <is>
          <t>2026-10-07</t>
        </is>
      </c>
      <c r="B4" s="2" t="inlineStr">
        <is>
          <t>MU</t>
        </is>
      </c>
      <c r="C4" s="2" t="inlineStr">
        <is>
          <t>Micron Technology</t>
        </is>
      </c>
      <c r="D4" s="2" t="inlineStr">
        <is>
          <t>Long</t>
        </is>
      </c>
      <c r="E4" s="4" t="n">
        <v>1</v>
      </c>
      <c r="F4" s="5" t="n">
        <v>1097.61</v>
      </c>
      <c r="G4" s="5" t="n">
        <v>1086.75</v>
      </c>
      <c r="H4" s="3">
        <f>E4*(G4-F4)</f>
        <v/>
      </c>
    </row>
    <row r="5">
      <c r="A5" s="2" t="inlineStr">
        <is>
          <t>2026-10-08</t>
        </is>
      </c>
      <c r="B5" s="2" t="inlineStr">
        <is>
          <t>GEV</t>
        </is>
      </c>
      <c r="C5" s="2" t="inlineStr">
        <is>
          <t>GE Vernova</t>
        </is>
      </c>
      <c r="D5" s="2" t="inlineStr">
        <is>
          <t>Long</t>
        </is>
      </c>
      <c r="E5" s="4" t="n">
        <v>2</v>
      </c>
      <c r="F5" s="5" t="n">
        <v>987.38</v>
      </c>
      <c r="G5" s="5" t="n">
        <v>998.54</v>
      </c>
      <c r="H5" s="3">
        <f>E5*(G5-F5)</f>
        <v/>
      </c>
    </row>
    <row r="6">
      <c r="A6" s="2" t="inlineStr">
        <is>
          <t>2026-10-08</t>
        </is>
      </c>
      <c r="B6" s="2" t="inlineStr">
        <is>
          <t>MU</t>
        </is>
      </c>
      <c r="C6" s="2" t="inlineStr">
        <is>
          <t>Micron Technology</t>
        </is>
      </c>
      <c r="D6" s="2" t="inlineStr">
        <is>
          <t>Long</t>
        </is>
      </c>
      <c r="E6" s="4" t="n">
        <v>1</v>
      </c>
      <c r="F6" s="5" t="n">
        <v>1097.61</v>
      </c>
      <c r="G6" s="5" t="n">
        <v>1036.16</v>
      </c>
      <c r="H6" s="3">
        <f>E6*(G6-F6)</f>
        <v/>
      </c>
    </row>
    <row r="7">
      <c r="A7" s="2" t="inlineStr">
        <is>
          <t>2026-10-08</t>
        </is>
      </c>
      <c r="B7" s="2" t="inlineStr">
        <is>
          <t>NFLX</t>
        </is>
      </c>
      <c r="C7" s="2" t="inlineStr">
        <is>
          <t>NFLX</t>
        </is>
      </c>
      <c r="D7" s="2" t="inlineStr">
        <is>
          <t>Long</t>
        </is>
      </c>
      <c r="E7" s="4" t="n">
        <v>24</v>
      </c>
      <c r="F7" s="5" t="n">
        <v>67.85000000000001</v>
      </c>
      <c r="G7" s="5" t="n">
        <v>71.59000000000002</v>
      </c>
      <c r="H7" s="3">
        <f>E7*(G7-F7)</f>
        <v/>
      </c>
    </row>
    <row r="8">
      <c r="A8" s="2" t="inlineStr">
        <is>
          <t>2026-10-09</t>
        </is>
      </c>
      <c r="B8" s="2" t="inlineStr">
        <is>
          <t>AVGO</t>
        </is>
      </c>
      <c r="C8" s="2" t="inlineStr">
        <is>
          <t>AVGO</t>
        </is>
      </c>
      <c r="D8" s="2" t="inlineStr">
        <is>
          <t>Long</t>
        </is>
      </c>
      <c r="E8" s="4" t="n">
        <v>3</v>
      </c>
      <c r="F8" s="5" t="n">
        <v>360.3700000000001</v>
      </c>
      <c r="G8" s="5" t="n">
        <v>361.53</v>
      </c>
      <c r="H8" s="3">
        <f>E8*(G8-F8)</f>
        <v/>
      </c>
    </row>
    <row r="9">
      <c r="A9" s="2" t="inlineStr">
        <is>
          <t>2026-10-09</t>
        </is>
      </c>
      <c r="B9" s="2" t="inlineStr">
        <is>
          <t>PEP</t>
        </is>
      </c>
      <c r="C9" s="2" t="inlineStr">
        <is>
          <t>PEP</t>
        </is>
      </c>
      <c r="D9" s="2" t="inlineStr">
        <is>
          <t>Short</t>
        </is>
      </c>
      <c r="E9" s="4" t="n">
        <v>-8</v>
      </c>
      <c r="F9" s="5" t="n">
        <v>128.19</v>
      </c>
      <c r="G9" s="5" t="n">
        <v>125.99375</v>
      </c>
      <c r="H9" s="3">
        <f>E9*(G9-F9)</f>
        <v/>
      </c>
    </row>
    <row r="10">
      <c r="A10" s="2" t="inlineStr">
        <is>
          <t>2026-10-09</t>
        </is>
      </c>
      <c r="B10" s="2" t="inlineStr">
        <is>
          <t>SPY</t>
        </is>
      </c>
      <c r="C10" s="2" t="inlineStr">
        <is>
          <t>SPDR S&amp;P 500 ETF</t>
        </is>
      </c>
      <c r="D10" s="2" t="inlineStr">
        <is>
          <t>Short</t>
        </is>
      </c>
      <c r="E10" s="4" t="n">
        <v>-4</v>
      </c>
      <c r="F10" s="5" t="n">
        <v>774.8300000000002</v>
      </c>
      <c r="G10" s="5" t="n">
        <v>778.28</v>
      </c>
      <c r="H10" s="3">
        <f>E10*(G10-F10)</f>
        <v/>
      </c>
    </row>
    <row r="11">
      <c r="A11" s="2" t="inlineStr">
        <is>
          <t>2026-10-13</t>
        </is>
      </c>
      <c r="B11" s="2" t="inlineStr">
        <is>
          <t>AVGO</t>
        </is>
      </c>
      <c r="C11" s="2" t="inlineStr">
        <is>
          <t>AVGO</t>
        </is>
      </c>
      <c r="D11" s="2" t="inlineStr">
        <is>
          <t>Long</t>
        </is>
      </c>
      <c r="E11" s="4" t="n">
        <v>2</v>
      </c>
      <c r="F11" s="5" t="n">
        <v>360.365</v>
      </c>
      <c r="G11" s="5" t="n">
        <v>357.595</v>
      </c>
      <c r="H11" s="3">
        <f>E11*(G11-F11)</f>
        <v/>
      </c>
    </row>
    <row r="12">
      <c r="A12" s="2" t="inlineStr">
        <is>
          <t>2026-10-13</t>
        </is>
      </c>
      <c r="B12" s="2" t="inlineStr">
        <is>
          <t>AMD</t>
        </is>
      </c>
      <c r="C12" s="2" t="inlineStr">
        <is>
          <t>AMD</t>
        </is>
      </c>
      <c r="D12" s="2" t="inlineStr">
        <is>
          <t>Long</t>
        </is>
      </c>
      <c r="E12" s="4" t="n">
        <v>2</v>
      </c>
      <c r="F12" s="5" t="n">
        <v>621.12</v>
      </c>
      <c r="G12" s="5" t="n">
        <v>605.795</v>
      </c>
      <c r="H12" s="3">
        <f>E12*(G12-F12)</f>
        <v/>
      </c>
    </row>
    <row r="13">
      <c r="A13" s="2" t="inlineStr">
        <is>
          <t>2026-10-13</t>
        </is>
      </c>
      <c r="B13" s="2" t="inlineStr">
        <is>
          <t>SPY</t>
        </is>
      </c>
      <c r="C13" s="2" t="inlineStr">
        <is>
          <t>SPDR S&amp;P 500 ETF</t>
        </is>
      </c>
      <c r="D13" s="2" t="inlineStr">
        <is>
          <t>Short</t>
        </is>
      </c>
      <c r="E13" s="4" t="n">
        <v>-6</v>
      </c>
      <c r="F13" s="5" t="n">
        <v>773.9499999999999</v>
      </c>
      <c r="G13" s="5" t="n">
        <v>777.915</v>
      </c>
      <c r="H13" s="3">
        <f>E13*(G13-F13)</f>
        <v/>
      </c>
    </row>
    <row r="14">
      <c r="A14" s="2" t="inlineStr">
        <is>
          <t>2026-10-14</t>
        </is>
      </c>
      <c r="B14" s="2" t="inlineStr">
        <is>
          <t>NVDA</t>
        </is>
      </c>
      <c r="C14" s="2" t="inlineStr">
        <is>
          <t>NVDA</t>
        </is>
      </c>
      <c r="D14" s="2" t="inlineStr">
        <is>
          <t>Long</t>
        </is>
      </c>
      <c r="E14" s="4" t="n">
        <v>7</v>
      </c>
      <c r="F14" s="5" t="n">
        <v>230.49</v>
      </c>
      <c r="G14" s="5" t="n">
        <v>221.17</v>
      </c>
      <c r="H14" s="3">
        <f>E14*(G14-F14)</f>
        <v/>
      </c>
    </row>
    <row r="15">
      <c r="A15" s="2" t="inlineStr">
        <is>
          <t>2026-10-14</t>
        </is>
      </c>
      <c r="B15" s="2" t="inlineStr">
        <is>
          <t>SPY</t>
        </is>
      </c>
      <c r="C15" s="2" t="inlineStr">
        <is>
          <t>SPDR S&amp;P 500 ETF</t>
        </is>
      </c>
      <c r="D15" s="2" t="inlineStr">
        <is>
          <t>Short</t>
        </is>
      </c>
      <c r="E15" s="4" t="n">
        <v>-4</v>
      </c>
      <c r="F15" s="5" t="n">
        <v>773.95</v>
      </c>
      <c r="G15" s="5" t="n">
        <v>768.885</v>
      </c>
      <c r="H15" s="3">
        <f>E15*(G15-F15)</f>
        <v/>
      </c>
    </row>
    <row r="16">
      <c r="A16" s="2" t="inlineStr">
        <is>
          <t>2026-10-15</t>
        </is>
      </c>
      <c r="B16" s="2" t="inlineStr">
        <is>
          <t>AVGO</t>
        </is>
      </c>
      <c r="C16" s="2" t="inlineStr">
        <is>
          <t>AVGO</t>
        </is>
      </c>
      <c r="D16" s="2" t="inlineStr">
        <is>
          <t>Long</t>
        </is>
      </c>
      <c r="E16" s="4" t="n">
        <v>2</v>
      </c>
      <c r="F16" s="5" t="n">
        <v>360.345</v>
      </c>
      <c r="G16" s="5" t="n">
        <v>344.42</v>
      </c>
      <c r="H16" s="3">
        <f>E16*(G16-F16)</f>
        <v/>
      </c>
    </row>
    <row r="17">
      <c r="A17" s="2" t="inlineStr">
        <is>
          <t>2026-10-15</t>
        </is>
      </c>
      <c r="B17" s="2" t="inlineStr">
        <is>
          <t>BA</t>
        </is>
      </c>
      <c r="C17" s="2" t="inlineStr">
        <is>
          <t>BA</t>
        </is>
      </c>
      <c r="D17" s="2" t="inlineStr">
        <is>
          <t>Long</t>
        </is>
      </c>
      <c r="E17" s="4" t="n">
        <v>33</v>
      </c>
      <c r="F17" s="5" t="n">
        <v>187.69</v>
      </c>
      <c r="G17" s="5" t="n">
        <v>188.4987878787879</v>
      </c>
      <c r="H17" s="3">
        <f>E17*(G17-F17)</f>
        <v/>
      </c>
    </row>
    <row r="18">
      <c r="A18" s="2" t="inlineStr">
        <is>
          <t>2026-10-15</t>
        </is>
      </c>
      <c r="B18" s="2" t="inlineStr">
        <is>
          <t>BRK.B</t>
        </is>
      </c>
      <c r="C18" s="2" t="inlineStr">
        <is>
          <t>BRK.B</t>
        </is>
      </c>
      <c r="D18" s="2" t="inlineStr">
        <is>
          <t>Short</t>
        </is>
      </c>
      <c r="E18" s="4" t="n">
        <v>-4</v>
      </c>
      <c r="F18" s="5" t="n">
        <v>500.56</v>
      </c>
      <c r="G18" s="5" t="n">
        <v>526.15</v>
      </c>
      <c r="H18" s="3">
        <f>E18*(G18-F18)</f>
        <v/>
      </c>
    </row>
    <row r="19">
      <c r="A19" s="2" t="inlineStr">
        <is>
          <t>2026-10-15</t>
        </is>
      </c>
      <c r="B19" s="2" t="inlineStr">
        <is>
          <t>CEG</t>
        </is>
      </c>
      <c r="C19" s="2" t="inlineStr">
        <is>
          <t>CEG</t>
        </is>
      </c>
      <c r="D19" s="2" t="inlineStr">
        <is>
          <t>Long</t>
        </is>
      </c>
      <c r="E19" s="4" t="n">
        <v>10</v>
      </c>
      <c r="F19" s="5" t="n">
        <v>285.07</v>
      </c>
      <c r="G19" s="5" t="n">
        <v>276.52</v>
      </c>
      <c r="H19" s="3">
        <f>E19*(G19-F19)</f>
        <v/>
      </c>
    </row>
    <row r="20">
      <c r="A20" s="2" t="inlineStr">
        <is>
          <t>2026-10-15</t>
        </is>
      </c>
      <c r="B20" s="2" t="inlineStr">
        <is>
          <t>GOOGL</t>
        </is>
      </c>
      <c r="C20" s="2" t="inlineStr">
        <is>
          <t>GOOGL</t>
        </is>
      </c>
      <c r="D20" s="2" t="inlineStr">
        <is>
          <t>Long</t>
        </is>
      </c>
      <c r="E20" s="4" t="n">
        <v>9</v>
      </c>
      <c r="F20" s="5" t="n">
        <v>348.4111111111112</v>
      </c>
      <c r="G20" s="5" t="n">
        <v>349.4611111111111</v>
      </c>
      <c r="H20" s="3">
        <f>E20*(G20-F20)</f>
        <v/>
      </c>
    </row>
    <row r="21">
      <c r="A21" s="2" t="inlineStr">
        <is>
          <t>2026-10-15</t>
        </is>
      </c>
      <c r="B21" s="2" t="inlineStr">
        <is>
          <t>HPE</t>
        </is>
      </c>
      <c r="C21" s="2" t="inlineStr">
        <is>
          <t>HPE</t>
        </is>
      </c>
      <c r="D21" s="2" t="inlineStr">
        <is>
          <t>Long</t>
        </is>
      </c>
      <c r="E21" s="4" t="n">
        <v>4</v>
      </c>
      <c r="F21" s="5" t="n">
        <v>70.92</v>
      </c>
      <c r="G21" s="5" t="n">
        <v>58.7</v>
      </c>
      <c r="H21" s="3">
        <f>E21*(G21-F21)</f>
        <v/>
      </c>
    </row>
    <row r="22">
      <c r="A22" s="2" t="inlineStr">
        <is>
          <t>2026-10-15</t>
        </is>
      </c>
      <c r="B22" s="2" t="inlineStr">
        <is>
          <t>LLY</t>
        </is>
      </c>
      <c r="C22" s="2" t="inlineStr">
        <is>
          <t>LLY</t>
        </is>
      </c>
      <c r="D22" s="2" t="inlineStr">
        <is>
          <t>Long</t>
        </is>
      </c>
      <c r="E22" s="4" t="n">
        <v>2</v>
      </c>
      <c r="F22" s="5" t="n">
        <v>1170.25</v>
      </c>
      <c r="G22" s="5" t="n">
        <v>1253.68</v>
      </c>
      <c r="H22" s="3">
        <f>E22*(G22-F22)</f>
        <v/>
      </c>
    </row>
    <row r="23">
      <c r="A23" s="2" t="inlineStr">
        <is>
          <t>2026-10-15</t>
        </is>
      </c>
      <c r="B23" s="2" t="inlineStr">
        <is>
          <t>LITE</t>
        </is>
      </c>
      <c r="C23" s="2" t="inlineStr">
        <is>
          <t>LITE</t>
        </is>
      </c>
      <c r="D23" s="2" t="inlineStr">
        <is>
          <t>Long</t>
        </is>
      </c>
      <c r="E23" s="4" t="n">
        <v>3</v>
      </c>
      <c r="F23" s="5" t="n">
        <v>1050.046666666667</v>
      </c>
      <c r="G23" s="5" t="n">
        <v>869.4233333333333</v>
      </c>
      <c r="H23" s="3">
        <f>E23*(G23-F23)</f>
        <v/>
      </c>
    </row>
    <row r="24">
      <c r="A24" s="2" t="inlineStr">
        <is>
          <t>2026-10-15</t>
        </is>
      </c>
      <c r="B24" s="2" t="inlineStr">
        <is>
          <t>LULU</t>
        </is>
      </c>
      <c r="C24" s="2" t="inlineStr">
        <is>
          <t>LULU</t>
        </is>
      </c>
      <c r="D24" s="2" t="inlineStr">
        <is>
          <t>Short</t>
        </is>
      </c>
      <c r="E24" s="4" t="n">
        <v>-32</v>
      </c>
      <c r="F24" s="5" t="n">
        <v>95.37625</v>
      </c>
      <c r="G24" s="5" t="n">
        <v>99.13124999999999</v>
      </c>
      <c r="H24" s="3">
        <f>E24*(G24-F24)</f>
        <v/>
      </c>
    </row>
    <row r="25">
      <c r="A25" s="2" t="inlineStr">
        <is>
          <t>2026-10-15</t>
        </is>
      </c>
      <c r="B25" s="2" t="inlineStr">
        <is>
          <t>META</t>
        </is>
      </c>
      <c r="C25" s="2" t="inlineStr">
        <is>
          <t>META</t>
        </is>
      </c>
      <c r="D25" s="2" t="inlineStr">
        <is>
          <t>Short</t>
        </is>
      </c>
      <c r="E25" s="4" t="n">
        <v>-4</v>
      </c>
      <c r="F25" s="5" t="n">
        <v>720.8100000000001</v>
      </c>
      <c r="G25" s="5" t="n">
        <v>736.4925000000001</v>
      </c>
      <c r="H25" s="3">
        <f>E25*(G25-F25)</f>
        <v/>
      </c>
    </row>
    <row r="26">
      <c r="A26" s="2" t="inlineStr">
        <is>
          <t>2026-10-15</t>
        </is>
      </c>
      <c r="B26" s="2" t="inlineStr">
        <is>
          <t>MCD</t>
        </is>
      </c>
      <c r="C26" s="2" t="inlineStr">
        <is>
          <t>MCD</t>
        </is>
      </c>
      <c r="D26" s="2" t="inlineStr">
        <is>
          <t>Short</t>
        </is>
      </c>
      <c r="E26" s="4" t="n">
        <v>-13</v>
      </c>
      <c r="F26" s="5" t="n">
        <v>236.64</v>
      </c>
      <c r="G26" s="5" t="n">
        <v>242.6423076923077</v>
      </c>
      <c r="H26" s="3">
        <f>E26*(G26-F26)</f>
        <v/>
      </c>
    </row>
    <row r="27">
      <c r="A27" s="2" t="inlineStr">
        <is>
          <t>2026-10-15</t>
        </is>
      </c>
      <c r="B27" s="2" t="inlineStr">
        <is>
          <t>MRVL</t>
        </is>
      </c>
      <c r="C27" s="2" t="inlineStr">
        <is>
          <t>MRVL</t>
        </is>
      </c>
      <c r="D27" s="2" t="inlineStr">
        <is>
          <t>Long</t>
        </is>
      </c>
      <c r="E27" s="4" t="n">
        <v>2</v>
      </c>
      <c r="F27" s="5" t="n">
        <v>274.62</v>
      </c>
      <c r="G27" s="5" t="n">
        <v>241.535</v>
      </c>
      <c r="H27" s="3">
        <f>E27*(G27-F27)</f>
        <v/>
      </c>
    </row>
    <row r="28">
      <c r="A28" s="2" t="inlineStr">
        <is>
          <t>2026-10-15</t>
        </is>
      </c>
      <c r="B28" s="2" t="inlineStr">
        <is>
          <t>PEP</t>
        </is>
      </c>
      <c r="C28" s="2" t="inlineStr">
        <is>
          <t>PEP</t>
        </is>
      </c>
      <c r="D28" s="2" t="inlineStr">
        <is>
          <t>Short</t>
        </is>
      </c>
      <c r="E28" s="4" t="n">
        <v>-8</v>
      </c>
      <c r="F28" s="5" t="n">
        <v>128.19</v>
      </c>
      <c r="G28" s="5" t="n">
        <v>128.4175</v>
      </c>
      <c r="H28" s="3">
        <f>E28*(G28-F28)</f>
        <v/>
      </c>
    </row>
    <row r="29">
      <c r="A29" s="2" t="inlineStr">
        <is>
          <t>2026-10-15</t>
        </is>
      </c>
      <c r="B29" s="2" t="inlineStr">
        <is>
          <t>SPY</t>
        </is>
      </c>
      <c r="C29" s="2" t="inlineStr">
        <is>
          <t>SPDR S&amp;P 500 ETF</t>
        </is>
      </c>
      <c r="D29" s="2" t="inlineStr">
        <is>
          <t>Short</t>
        </is>
      </c>
      <c r="E29" s="4" t="n">
        <v>-15</v>
      </c>
      <c r="F29" s="5" t="n">
        <v>773.95</v>
      </c>
      <c r="G29" s="5" t="n">
        <v>771.98</v>
      </c>
      <c r="H29" s="3">
        <f>E29*(G29-F29)</f>
        <v/>
      </c>
    </row>
    <row r="30">
      <c r="A30" s="2" t="inlineStr">
        <is>
          <t>2026-10-15</t>
        </is>
      </c>
      <c r="B30" s="2" t="inlineStr">
        <is>
          <t>SNDK</t>
        </is>
      </c>
      <c r="C30" s="2" t="inlineStr">
        <is>
          <t>SNDK</t>
        </is>
      </c>
      <c r="D30" s="2" t="inlineStr">
        <is>
          <t>Short</t>
        </is>
      </c>
      <c r="E30" s="4" t="n">
        <v>-2</v>
      </c>
      <c r="F30" s="5" t="n">
        <v>1595.61</v>
      </c>
      <c r="G30" s="5" t="n">
        <v>1395.31</v>
      </c>
      <c r="H30" s="3">
        <f>E30*(G30-F30)</f>
        <v/>
      </c>
    </row>
    <row r="31">
      <c r="A31" s="2" t="inlineStr">
        <is>
          <t>2026-10-15</t>
        </is>
      </c>
      <c r="B31" s="2" t="inlineStr">
        <is>
          <t>STX</t>
        </is>
      </c>
      <c r="C31" s="2" t="inlineStr">
        <is>
          <t>STX</t>
        </is>
      </c>
      <c r="D31" s="2" t="inlineStr">
        <is>
          <t>Short</t>
        </is>
      </c>
      <c r="E31" s="4" t="n">
        <v>-3</v>
      </c>
      <c r="F31" s="5" t="n">
        <v>775.35</v>
      </c>
      <c r="G31" s="5" t="n">
        <v>691.4699999999999</v>
      </c>
      <c r="H31" s="3">
        <f>E31*(G31-F31)</f>
        <v/>
      </c>
    </row>
    <row r="32">
      <c r="A32" s="2" t="inlineStr">
        <is>
          <t>2026-10-15</t>
        </is>
      </c>
      <c r="B32" s="2" t="inlineStr">
        <is>
          <t>WDC</t>
        </is>
      </c>
      <c r="C32" s="2" t="inlineStr">
        <is>
          <t>WDC</t>
        </is>
      </c>
      <c r="D32" s="2" t="inlineStr">
        <is>
          <t>Short</t>
        </is>
      </c>
      <c r="E32" s="4" t="n">
        <v>-8</v>
      </c>
      <c r="F32" s="5" t="n">
        <v>393.05</v>
      </c>
      <c r="G32" s="5" t="n">
        <v>356.53</v>
      </c>
      <c r="H32" s="3">
        <f>E32*(G32-F32)</f>
        <v/>
      </c>
    </row>
    <row r="33">
      <c r="A33" s="2" t="inlineStr">
        <is>
          <t>2026-10-16</t>
        </is>
      </c>
      <c r="B33" s="2" t="inlineStr">
        <is>
          <t>NFLX</t>
        </is>
      </c>
      <c r="C33" s="2" t="inlineStr">
        <is>
          <t>NFLX</t>
        </is>
      </c>
      <c r="D33" s="2" t="inlineStr">
        <is>
          <t>Short</t>
        </is>
      </c>
      <c r="E33" s="4" t="n">
        <v>-15</v>
      </c>
      <c r="F33" s="5" t="n">
        <v>72.61</v>
      </c>
      <c r="G33" s="5" t="n">
        <v>70.61666666666666</v>
      </c>
      <c r="H33" s="3">
        <f>E33*(G33-F33)</f>
        <v/>
      </c>
    </row>
    <row r="34">
      <c r="A34" s="2" t="inlineStr">
        <is>
          <t>2026-10-16</t>
        </is>
      </c>
      <c r="B34" s="2" t="inlineStr">
        <is>
          <t>SMCI</t>
        </is>
      </c>
      <c r="C34" s="2" t="inlineStr">
        <is>
          <t>SMCI</t>
        </is>
      </c>
      <c r="D34" s="2" t="inlineStr">
        <is>
          <t>Short</t>
        </is>
      </c>
      <c r="E34" s="4" t="n">
        <v>-1</v>
      </c>
      <c r="F34" s="5" t="n">
        <v>35.1</v>
      </c>
      <c r="G34" s="5" t="n">
        <v>31.6</v>
      </c>
      <c r="H34" s="3">
        <f>E34*(G34-F34)</f>
        <v/>
      </c>
    </row>
  </sheetData>
  <autoFilter ref="A1:H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0" customWidth="1" min="16" max="16"/>
    <col width="90" customWidth="1" min="17" max="17"/>
  </cols>
  <sheetData>
    <row r="1" ht="30" customHeight="1">
      <c r="A1" s="1" t="inlineStr">
        <is>
          <t>Week (as-of Wed)</t>
        </is>
      </c>
      <c r="B1" s="1" t="inlineStr">
        <is>
          <t>Ticker</t>
        </is>
      </c>
      <c r="C1" s="1" t="inlineStr">
        <is>
          <t>Name</t>
        </is>
      </c>
      <c r="D1" s="1" t="inlineStr">
        <is>
          <t>Role</t>
        </is>
      </c>
      <c r="E1" s="1" t="inlineStr">
        <is>
          <t>Side</t>
        </is>
      </c>
      <c r="F1" s="1" t="inlineStr">
        <is>
          <t>Status</t>
        </is>
      </c>
      <c r="G1" s="1" t="inlineStr">
        <is>
          <t>Entry day</t>
        </is>
      </c>
      <c r="H1" s="1" t="inlineStr">
        <is>
          <t>Exit day</t>
        </is>
      </c>
      <c r="I1" s="1" t="inlineStr">
        <is>
          <t>Shares (signed)</t>
        </is>
      </c>
      <c r="J1" s="1" t="inlineStr">
        <is>
          <t>Entry price ($)</t>
        </is>
      </c>
      <c r="K1" s="1" t="inlineStr">
        <is>
          <t>Exit price ($)</t>
        </is>
      </c>
      <c r="L1" s="1" t="inlineStr">
        <is>
          <t>Current price ($)</t>
        </is>
      </c>
      <c r="M1" s="1" t="inlineStr">
        <is>
          <t>Return (%)</t>
        </is>
      </c>
      <c r="N1" s="1" t="inlineStr">
        <is>
          <t>P&amp;L ($)</t>
        </is>
      </c>
      <c r="O1" s="1" t="inlineStr">
        <is>
          <t>Confidence</t>
        </is>
      </c>
      <c r="P1" s="1" t="inlineStr">
        <is>
          <t>Red team</t>
        </is>
      </c>
      <c r="Q1" s="1" t="inlineStr">
        <is>
          <t>Thesis</t>
        </is>
      </c>
    </row>
    <row r="2">
      <c r="A2" s="2" t="inlineStr">
        <is>
          <t>2026-09-30</t>
        </is>
      </c>
      <c r="B2" s="2" t="inlineStr">
        <is>
          <t>SPY</t>
        </is>
      </c>
      <c r="C2" s="2" t="inlineStr">
        <is>
          <t>SPDR S&amp;P 500 ETF</t>
        </is>
      </c>
      <c r="D2" s="2" t="inlineStr">
        <is>
          <t>beta hedge</t>
        </is>
      </c>
      <c r="E2" s="2" t="inlineStr">
        <is>
          <t>Short</t>
        </is>
      </c>
      <c r="F2" s="2" t="inlineStr">
        <is>
          <t>Closed</t>
        </is>
      </c>
      <c r="G2" s="2" t="inlineStr">
        <is>
          <t>2026-10-07</t>
        </is>
      </c>
      <c r="H2" s="2" t="inlineStr">
        <is>
          <t>2026-10-08</t>
        </is>
      </c>
      <c r="I2" s="4" t="n">
        <v>-1</v>
      </c>
      <c r="J2" s="5" t="n">
        <v>777.3</v>
      </c>
      <c r="K2" s="5" t="n">
        <v>773.95</v>
      </c>
      <c r="L2" s="5" t="n">
        <v>769.3200000000001</v>
      </c>
      <c r="M2" s="7">
        <f>IFERROR(IF(E2="Short",-1,1)*(IF(K2&lt;&gt;"",K2,L2)/J2-1),"")</f>
        <v/>
      </c>
      <c r="N2" s="6">
        <f>IFERROR(I2*(IF(K2&lt;&gt;"",K2,L2)-J2),"")</f>
        <v/>
      </c>
      <c r="O2" s="8" t="n"/>
      <c r="P2" s="2" t="n"/>
      <c r="Q2" s="9" t="inlineStr">
        <is>
          <t>SPY hedge to zero beta</t>
        </is>
      </c>
    </row>
    <row r="3">
      <c r="A3" s="2" t="inlineStr">
        <is>
          <t>2026-09-30</t>
        </is>
      </c>
      <c r="B3" s="2" t="inlineStr">
        <is>
          <t>GEV</t>
        </is>
      </c>
      <c r="C3" s="2" t="inlineStr">
        <is>
          <t>GE Vernova</t>
        </is>
      </c>
      <c r="D3" s="2" t="inlineStr">
        <is>
          <t>position</t>
        </is>
      </c>
      <c r="E3" s="2" t="inlineStr">
        <is>
          <t>Long</t>
        </is>
      </c>
      <c r="F3" s="2" t="inlineStr">
        <is>
          <t>Closed</t>
        </is>
      </c>
      <c r="G3" s="2" t="inlineStr">
        <is>
          <t>2026-10-01</t>
        </is>
      </c>
      <c r="H3" s="2" t="inlineStr">
        <is>
          <t>2026-10-08</t>
        </is>
      </c>
      <c r="I3" s="4" t="n">
        <v>2</v>
      </c>
      <c r="J3" s="5" t="n">
        <v>987.38</v>
      </c>
      <c r="K3" s="5" t="n">
        <v>998.54</v>
      </c>
      <c r="L3" s="5" t="n">
        <v>900</v>
      </c>
      <c r="M3" s="7">
        <f>IFERROR(IF(E3="Short",-1,1)*(IF(K3&lt;&gt;"",K3,L3)/J3-1),"")</f>
        <v/>
      </c>
      <c r="N3" s="6">
        <f>IFERROR(I3*(IF(K3&lt;&gt;"",K3,L3)-J3),"")</f>
        <v/>
      </c>
      <c r="O3" s="8" t="n">
        <v>0.6</v>
      </c>
      <c r="P3" s="2" t="inlineStr">
        <is>
          <t>uphold</t>
        </is>
      </c>
      <c r="Q3" s="9" t="inlineStr">
        <is>
          <t>NRC construction permit for GEV/Hitachi's new reactor design (Sep 29-30) is a concrete regulatory milestone that validates the nuclear growth story, whose coverage share jumped to 49% from 9%. With no earnings next week and only 1.1% gain last week, the news is not fully priced; GLJ's Sell is opinion, not information.</t>
        </is>
      </c>
    </row>
    <row r="4">
      <c r="A4" s="2" t="inlineStr">
        <is>
          <t>2026-09-30</t>
        </is>
      </c>
      <c r="B4" s="2" t="inlineStr">
        <is>
          <t>MU</t>
        </is>
      </c>
      <c r="C4" s="2" t="inlineStr">
        <is>
          <t>Micron Technology</t>
        </is>
      </c>
      <c r="D4" s="2" t="inlineStr">
        <is>
          <t>position</t>
        </is>
      </c>
      <c r="E4" s="2" t="inlineStr">
        <is>
          <t>Long</t>
        </is>
      </c>
      <c r="F4" s="2" t="inlineStr">
        <is>
          <t>Closed (daily review)</t>
        </is>
      </c>
      <c r="G4" s="2" t="inlineStr">
        <is>
          <t>2026-10-01</t>
        </is>
      </c>
      <c r="H4" s="2" t="inlineStr">
        <is>
          <t>2026-10-07</t>
        </is>
      </c>
      <c r="I4" s="4" t="n">
        <v>2</v>
      </c>
      <c r="J4" s="5" t="n">
        <v>1097.61</v>
      </c>
      <c r="K4" s="5" t="n">
        <v>1086.75</v>
      </c>
      <c r="L4" s="5" t="n">
        <v>911.12</v>
      </c>
      <c r="M4" s="7">
        <f>IFERROR(IF(E4="Short",-1,1)*(IF(K4&lt;&gt;"",K4,L4)/J4-1),"")</f>
        <v/>
      </c>
      <c r="N4" s="6">
        <f>IFERROR(I4*(IF(K4&lt;&gt;"",K4,L4)-J4),"")</f>
        <v/>
      </c>
      <c r="O4" s="8" t="n">
        <v>0.6</v>
      </c>
      <c r="P4" s="2" t="inlineStr">
        <is>
          <t>weaken</t>
        </is>
      </c>
      <c r="Q4" s="9" t="inlineStr">
        <is>
          <t>Micron's Sep 30 Q4 beat with above-Street guidance on AI memory demand confirms the bull case, and the AI memory rally story's coverage share is rising (37% vs 29% avg) with a new AI Memory Boom narrative accelerating. Post-earnings drift should favor MU next week, though Burry's puts and bubble fears cap conviction.</t>
        </is>
      </c>
    </row>
    <row r="5">
      <c r="A5" s="2" t="inlineStr">
        <is>
          <t>2026-09-30</t>
        </is>
      </c>
      <c r="B5" s="2" t="inlineStr">
        <is>
          <t>MU</t>
        </is>
      </c>
      <c r="C5" s="2" t="inlineStr">
        <is>
          <t>Micron Technology</t>
        </is>
      </c>
      <c r="D5" s="2" t="inlineStr">
        <is>
          <t>position</t>
        </is>
      </c>
      <c r="E5" s="2" t="inlineStr">
        <is>
          <t>Long</t>
        </is>
      </c>
      <c r="F5" s="2" t="inlineStr">
        <is>
          <t>Closed</t>
        </is>
      </c>
      <c r="G5" s="2" t="inlineStr">
        <is>
          <t>2026-10-07</t>
        </is>
      </c>
      <c r="H5" s="2" t="inlineStr">
        <is>
          <t>2026-10-08</t>
        </is>
      </c>
      <c r="I5" s="4" t="n">
        <v>1</v>
      </c>
      <c r="J5" s="5" t="n">
        <v>1086.75</v>
      </c>
      <c r="K5" s="5" t="n">
        <v>1036.16</v>
      </c>
      <c r="L5" s="5" t="n">
        <v>911.12</v>
      </c>
      <c r="M5" s="7">
        <f>IFERROR(IF(E5="Short",-1,1)*(IF(K5&lt;&gt;"",K5,L5)/J5-1),"")</f>
        <v/>
      </c>
      <c r="N5" s="6">
        <f>IFERROR(I5*(IF(K5&lt;&gt;"",K5,L5)-J5),"")</f>
        <v/>
      </c>
      <c r="O5" s="8" t="n">
        <v>0.6</v>
      </c>
      <c r="P5" s="2" t="inlineStr">
        <is>
          <t>weaken</t>
        </is>
      </c>
      <c r="Q5" s="9" t="inlineStr">
        <is>
          <t>Micron's Sep 30 Q4 beat with above-Street guidance on AI memory demand confirms the bull case, and the AI memory rally story's coverage share is rising (37% vs 29% avg) with a new AI Memory Boom narrative accelerating. Post-earnings drift should favor MU next week, though Burry's puts and bubble fears cap conviction.</t>
        </is>
      </c>
    </row>
    <row r="6">
      <c r="A6" s="2" t="inlineStr">
        <is>
          <t>2026-09-30</t>
        </is>
      </c>
      <c r="B6" s="2" t="inlineStr">
        <is>
          <t>NFLX</t>
        </is>
      </c>
      <c r="C6" s="2" t="inlineStr">
        <is>
          <t>Netflix</t>
        </is>
      </c>
      <c r="D6" s="2" t="inlineStr">
        <is>
          <t>position</t>
        </is>
      </c>
      <c r="E6" s="2" t="inlineStr">
        <is>
          <t>Long</t>
        </is>
      </c>
      <c r="F6" s="2" t="inlineStr">
        <is>
          <t>Closed</t>
        </is>
      </c>
      <c r="G6" s="2" t="inlineStr">
        <is>
          <t>2026-10-01</t>
        </is>
      </c>
      <c r="H6" s="2" t="inlineStr">
        <is>
          <t>2026-10-08</t>
        </is>
      </c>
      <c r="I6" s="4" t="n">
        <v>24</v>
      </c>
      <c r="J6" s="5" t="n">
        <v>67.84999999999999</v>
      </c>
      <c r="K6" s="5" t="n">
        <v>71.59</v>
      </c>
      <c r="L6" s="5" t="n">
        <v>69.715</v>
      </c>
      <c r="M6" s="7">
        <f>IFERROR(IF(E6="Short",-1,1)*(IF(K6&lt;&gt;"",K6,L6)/J6-1),"")</f>
        <v/>
      </c>
      <c r="N6" s="6">
        <f>IFERROR(I6*(IF(K6&lt;&gt;"",K6,L6)-J6),"")</f>
        <v/>
      </c>
      <c r="O6" s="8" t="n">
        <v>0.55</v>
      </c>
      <c r="P6" s="2" t="inlineStr">
        <is>
          <t>uphold</t>
        </is>
      </c>
      <c r="Q6" s="9" t="inlineStr">
        <is>
          <t>Deutsche Bank's Sep 29 upgrade to Buy is a new story now 40% of coverage, and the selloff-debate narrative is fading, suggesting a near-term bounce. But the upgrade came with a lowered target and weak engagement trends persist, capping conviction.</t>
        </is>
      </c>
    </row>
    <row r="7">
      <c r="A7" s="2" t="inlineStr">
        <is>
          <t>2026-09-30</t>
        </is>
      </c>
      <c r="B7" s="2" t="inlineStr">
        <is>
          <t>BRK.B</t>
        </is>
      </c>
      <c r="C7" s="2" t="inlineStr">
        <is>
          <t>Berkshire Hathaway</t>
        </is>
      </c>
      <c r="D7" s="2" t="inlineStr">
        <is>
          <t>position</t>
        </is>
      </c>
      <c r="E7" s="2" t="inlineStr">
        <is>
          <t>Short</t>
        </is>
      </c>
      <c r="F7" s="2" t="inlineStr">
        <is>
          <t>Closed</t>
        </is>
      </c>
      <c r="G7" s="2" t="inlineStr">
        <is>
          <t>2026-10-01</t>
        </is>
      </c>
      <c r="H7" s="2" t="inlineStr">
        <is>
          <t>2026-10-08</t>
        </is>
      </c>
      <c r="I7" s="4" t="n">
        <v>-4</v>
      </c>
      <c r="J7" s="5" t="n">
        <v>500.56</v>
      </c>
      <c r="K7" s="5" t="n">
        <v>511.0499877929688</v>
      </c>
      <c r="L7" s="5" t="n">
        <v>538.34</v>
      </c>
      <c r="M7" s="7">
        <f>IFERROR(IF(E7="Short",-1,1)*(IF(K7&lt;&gt;"",K7,L7)/J7-1),"")</f>
        <v/>
      </c>
      <c r="N7" s="6">
        <f>IFERROR(I7*(IF(K7&lt;&gt;"",K7,L7)-J7),"")</f>
        <v/>
      </c>
      <c r="O7" s="8" t="n">
        <v>0.6</v>
      </c>
      <c r="P7" s="2" t="inlineStr">
        <is>
          <t>uphold</t>
        </is>
      </c>
      <c r="Q7" s="9" t="inlineStr">
        <is>
          <t>Buffett's chairman exit and Howard's appointment add governance uncertainty, while the positive Abel/Alphabet narrative fades. Lennar stake increase is too small to offset. Expect slight underperformance next week.</t>
        </is>
      </c>
    </row>
    <row r="8">
      <c r="A8" s="2" t="inlineStr">
        <is>
          <t>2026-09-30</t>
        </is>
      </c>
      <c r="B8" s="2" t="inlineStr">
        <is>
          <t>LULU</t>
        </is>
      </c>
      <c r="C8" s="2" t="inlineStr">
        <is>
          <t>Lululemon Athletica</t>
        </is>
      </c>
      <c r="D8" s="2" t="inlineStr">
        <is>
          <t>position</t>
        </is>
      </c>
      <c r="E8" s="2" t="inlineStr">
        <is>
          <t>Short</t>
        </is>
      </c>
      <c r="F8" s="2" t="inlineStr">
        <is>
          <t>Closed</t>
        </is>
      </c>
      <c r="G8" s="2" t="inlineStr">
        <is>
          <t>2026-10-01</t>
        </is>
      </c>
      <c r="H8" s="2" t="inlineStr">
        <is>
          <t>2026-10-08</t>
        </is>
      </c>
      <c r="I8" s="4" t="n">
        <v>-27</v>
      </c>
      <c r="J8" s="5" t="n">
        <v>95.87</v>
      </c>
      <c r="K8" s="5" t="n">
        <v>92.70999999999999</v>
      </c>
      <c r="L8" s="5" t="n">
        <v>98.66</v>
      </c>
      <c r="M8" s="7">
        <f>IFERROR(IF(E8="Short",-1,1)*(IF(K8&lt;&gt;"",K8,L8)/J8-1),"")</f>
        <v/>
      </c>
      <c r="N8" s="6">
        <f>IFERROR(I8*(IF(K8&lt;&gt;"",K8,L8)-J8),"")</f>
        <v/>
      </c>
      <c r="O8" s="8" t="n">
        <v>0.6</v>
      </c>
      <c r="P8" s="2" t="inlineStr">
        <is>
          <t>uphold</t>
        </is>
      </c>
      <c r="Q8" s="9" t="inlineStr">
        <is>
          <t>Fresh Sep 30 cash-flow skepticism and Sep 25 CEO/bylaw governance changes add to negative sentiment from Sep 3 guidance cut. With no earnings next week, LULU likely underperforms as the market questions cash durability and leadership transition.</t>
        </is>
      </c>
    </row>
    <row r="9">
      <c r="A9" s="2" t="inlineStr">
        <is>
          <t>2026-09-30</t>
        </is>
      </c>
      <c r="B9" s="2" t="inlineStr">
        <is>
          <t>STZ</t>
        </is>
      </c>
      <c r="C9" s="2" t="inlineStr">
        <is>
          <t>Constellation Brands</t>
        </is>
      </c>
      <c r="D9" s="2" t="inlineStr">
        <is>
          <t>position</t>
        </is>
      </c>
      <c r="E9" s="2" t="inlineStr">
        <is>
          <t>Short</t>
        </is>
      </c>
      <c r="F9" s="2" t="inlineStr">
        <is>
          <t>Closed (daily review)</t>
        </is>
      </c>
      <c r="G9" s="2" t="inlineStr">
        <is>
          <t>2026-10-01</t>
        </is>
      </c>
      <c r="H9" s="2" t="inlineStr">
        <is>
          <t>2026-10-07</t>
        </is>
      </c>
      <c r="I9" s="4" t="n">
        <v>-5</v>
      </c>
      <c r="J9" s="5" t="n">
        <v>112.95</v>
      </c>
      <c r="K9" s="5" t="n">
        <v>118.22</v>
      </c>
      <c r="L9" s="5" t="n">
        <v>132.51</v>
      </c>
      <c r="M9" s="7">
        <f>IFERROR(IF(E9="Short",-1,1)*(IF(K9&lt;&gt;"",K9,L9)/J9-1),"")</f>
        <v/>
      </c>
      <c r="N9" s="6">
        <f>IFERROR(I9*(IF(K9&lt;&gt;"",K9,L9)-J9),"")</f>
        <v/>
      </c>
      <c r="O9" s="8" t="n">
        <v>0.55</v>
      </c>
      <c r="P9" s="2" t="inlineStr">
        <is>
          <t>uphold</t>
        </is>
      </c>
      <c r="Q9" s="9" t="inlineStr">
        <is>
          <t>New earnings story dominates: Q2 on Oct 6 expected EPS decline, negative ESP, and analyst target cuts. Selloff/outlook stories fading, but stock already down 12.8% in a month, so edge is modest. Binary event warrants lower confidence.</t>
        </is>
      </c>
    </row>
    <row r="10">
      <c r="A10" s="2" t="inlineStr">
        <is>
          <t>2026-10-07</t>
        </is>
      </c>
      <c r="B10" s="2" t="inlineStr">
        <is>
          <t>SPY</t>
        </is>
      </c>
      <c r="C10" s="2" t="inlineStr">
        <is>
          <t>SPDR S&amp;P 500 ETF</t>
        </is>
      </c>
      <c r="D10" s="2" t="inlineStr">
        <is>
          <t>beta hedge</t>
        </is>
      </c>
      <c r="E10" s="2" t="inlineStr">
        <is>
          <t>Short</t>
        </is>
      </c>
      <c r="F10" s="2" t="inlineStr">
        <is>
          <t>Closed (daily review)</t>
        </is>
      </c>
      <c r="G10" s="2" t="inlineStr">
        <is>
          <t>2026-10-08</t>
        </is>
      </c>
      <c r="H10" s="2" t="inlineStr">
        <is>
          <t>2026-10-09</t>
        </is>
      </c>
      <c r="I10" s="4" t="n">
        <v>-29</v>
      </c>
      <c r="J10" s="5" t="n">
        <v>773.95</v>
      </c>
      <c r="K10" s="5" t="n">
        <v>778.28</v>
      </c>
      <c r="L10" s="5" t="n">
        <v>769.3200000000001</v>
      </c>
      <c r="M10" s="7">
        <f>IFERROR(IF(E10="Short",-1,1)*(IF(K10&lt;&gt;"",K10,L10)/J10-1),"")</f>
        <v/>
      </c>
      <c r="N10" s="6">
        <f>IFERROR(I10*(IF(K10&lt;&gt;"",K10,L10)-J10),"")</f>
        <v/>
      </c>
      <c r="O10" s="8" t="n"/>
      <c r="P10" s="2" t="n"/>
      <c r="Q10" s="9" t="inlineStr">
        <is>
          <t>SPY hedge to zero beta</t>
        </is>
      </c>
    </row>
    <row r="11">
      <c r="A11" s="2" t="inlineStr">
        <is>
          <t>2026-10-07</t>
        </is>
      </c>
      <c r="B11" s="2" t="inlineStr">
        <is>
          <t>SPY</t>
        </is>
      </c>
      <c r="C11" s="2" t="inlineStr">
        <is>
          <t>SPDR S&amp;P 500 ETF</t>
        </is>
      </c>
      <c r="D11" s="2" t="inlineStr">
        <is>
          <t>beta hedge</t>
        </is>
      </c>
      <c r="E11" s="2" t="inlineStr">
        <is>
          <t>Short</t>
        </is>
      </c>
      <c r="F11" s="2" t="inlineStr">
        <is>
          <t>Closed (daily review)</t>
        </is>
      </c>
      <c r="G11" s="2" t="inlineStr">
        <is>
          <t>2026-10-09</t>
        </is>
      </c>
      <c r="H11" s="2" t="inlineStr">
        <is>
          <t>2026-10-13</t>
        </is>
      </c>
      <c r="I11" s="4" t="n">
        <v>-25</v>
      </c>
      <c r="J11" s="5" t="n">
        <v>778.28</v>
      </c>
      <c r="K11" s="5" t="n">
        <v>777.915</v>
      </c>
      <c r="L11" s="5" t="n">
        <v>769.3200000000001</v>
      </c>
      <c r="M11" s="7">
        <f>IFERROR(IF(E11="Short",-1,1)*(IF(K11&lt;&gt;"",K11,L11)/J11-1),"")</f>
        <v/>
      </c>
      <c r="N11" s="6">
        <f>IFERROR(I11*(IF(K11&lt;&gt;"",K11,L11)-J11),"")</f>
        <v/>
      </c>
      <c r="O11" s="8" t="n"/>
      <c r="P11" s="2" t="n"/>
      <c r="Q11" s="9" t="inlineStr">
        <is>
          <t>SPY hedge to zero beta</t>
        </is>
      </c>
    </row>
    <row r="12">
      <c r="A12" s="2" t="inlineStr">
        <is>
          <t>2026-10-07</t>
        </is>
      </c>
      <c r="B12" s="2" t="inlineStr">
        <is>
          <t>SPY</t>
        </is>
      </c>
      <c r="C12" s="2" t="inlineStr">
        <is>
          <t>SPDR S&amp;P 500 ETF</t>
        </is>
      </c>
      <c r="D12" s="2" t="inlineStr">
        <is>
          <t>beta hedge</t>
        </is>
      </c>
      <c r="E12" s="2" t="inlineStr">
        <is>
          <t>Short</t>
        </is>
      </c>
      <c r="F12" s="2" t="inlineStr">
        <is>
          <t>Closed (daily review)</t>
        </is>
      </c>
      <c r="G12" s="2" t="inlineStr">
        <is>
          <t>2026-10-13</t>
        </is>
      </c>
      <c r="H12" s="2" t="inlineStr">
        <is>
          <t>2026-10-14</t>
        </is>
      </c>
      <c r="I12" s="4" t="n">
        <v>-19</v>
      </c>
      <c r="J12" s="5" t="n">
        <v>777.915</v>
      </c>
      <c r="K12" s="5" t="n">
        <v>768.885</v>
      </c>
      <c r="L12" s="5" t="n">
        <v>769.3200000000001</v>
      </c>
      <c r="M12" s="7">
        <f>IFERROR(IF(E12="Short",-1,1)*(IF(K12&lt;&gt;"",K12,L12)/J12-1),"")</f>
        <v/>
      </c>
      <c r="N12" s="6">
        <f>IFERROR(I12*(IF(K12&lt;&gt;"",K12,L12)-J12),"")</f>
        <v/>
      </c>
      <c r="O12" s="8" t="n"/>
      <c r="P12" s="2" t="n"/>
      <c r="Q12" s="9" t="inlineStr">
        <is>
          <t>SPY hedge to zero beta</t>
        </is>
      </c>
    </row>
    <row r="13">
      <c r="A13" s="2" t="inlineStr">
        <is>
          <t>2026-10-07</t>
        </is>
      </c>
      <c r="B13" s="2" t="inlineStr">
        <is>
          <t>SPY</t>
        </is>
      </c>
      <c r="C13" s="2" t="inlineStr">
        <is>
          <t>SPDR S&amp;P 500 ETF</t>
        </is>
      </c>
      <c r="D13" s="2" t="inlineStr">
        <is>
          <t>beta hedge</t>
        </is>
      </c>
      <c r="E13" s="2" t="inlineStr">
        <is>
          <t>Short</t>
        </is>
      </c>
      <c r="F13" s="2" t="inlineStr">
        <is>
          <t>Closed</t>
        </is>
      </c>
      <c r="G13" s="2" t="inlineStr">
        <is>
          <t>2026-10-14</t>
        </is>
      </c>
      <c r="H13" s="2" t="inlineStr">
        <is>
          <t>2026-10-15</t>
        </is>
      </c>
      <c r="I13" s="4" t="n">
        <v>-15</v>
      </c>
      <c r="J13" s="5" t="n">
        <v>768.885</v>
      </c>
      <c r="K13" s="5" t="n">
        <v>771.98</v>
      </c>
      <c r="L13" s="5" t="n">
        <v>769.3200000000001</v>
      </c>
      <c r="M13" s="7">
        <f>IFERROR(IF(E13="Short",-1,1)*(IF(K13&lt;&gt;"",K13,L13)/J13-1),"")</f>
        <v/>
      </c>
      <c r="N13" s="6">
        <f>IFERROR(I13*(IF(K13&lt;&gt;"",K13,L13)-J13),"")</f>
        <v/>
      </c>
      <c r="O13" s="8" t="n"/>
      <c r="P13" s="2" t="n"/>
      <c r="Q13" s="9" t="inlineStr">
        <is>
          <t>SPY hedge to zero beta</t>
        </is>
      </c>
    </row>
    <row r="14">
      <c r="A14" s="2" t="inlineStr">
        <is>
          <t>2026-10-07</t>
        </is>
      </c>
      <c r="B14" s="2" t="inlineStr">
        <is>
          <t>AMD</t>
        </is>
      </c>
      <c r="C14" s="2" t="inlineStr">
        <is>
          <t>Advanced Micro Devices</t>
        </is>
      </c>
      <c r="D14" s="2" t="inlineStr">
        <is>
          <t>position</t>
        </is>
      </c>
      <c r="E14" s="2" t="inlineStr">
        <is>
          <t>Long</t>
        </is>
      </c>
      <c r="F14" s="2" t="inlineStr">
        <is>
          <t>Closed (daily review)</t>
        </is>
      </c>
      <c r="G14" s="2" t="inlineStr">
        <is>
          <t>2026-10-08</t>
        </is>
      </c>
      <c r="H14" s="2" t="inlineStr">
        <is>
          <t>2026-10-13</t>
        </is>
      </c>
      <c r="I14" s="4" t="n">
        <v>4</v>
      </c>
      <c r="J14" s="5" t="n">
        <v>621.12</v>
      </c>
      <c r="K14" s="5" t="n">
        <v>605.795</v>
      </c>
      <c r="L14" s="5" t="n">
        <v>542.86</v>
      </c>
      <c r="M14" s="7">
        <f>IFERROR(IF(E14="Short",-1,1)*(IF(K14&lt;&gt;"",K14,L14)/J14-1),"")</f>
        <v/>
      </c>
      <c r="N14" s="6">
        <f>IFERROR(I14*(IF(K14&lt;&gt;"",K14,L14)-J14),"")</f>
        <v/>
      </c>
      <c r="O14" s="8" t="n">
        <v>0.55</v>
      </c>
      <c r="P14" s="2" t="inlineStr">
        <is>
          <t>weaken</t>
        </is>
      </c>
      <c r="Q14" s="9" t="inlineStr">
        <is>
          <t>AMD's AI Chip Expansion story is rising (17%→25% share) on dated catalysts: Lisa Su's Oct 6-7 pledge of a 'substantial' 2027 supply ramp plus &gt;$10B supply-chain spend, the HPE/Vultr $1.2B Helios order validating MI450 racks, and Citi's Oct 6 $800 target. Demand outrunning supply is fresh, actionable news; AI-chip-selloff story is fading.</t>
        </is>
      </c>
    </row>
    <row r="15">
      <c r="A15" s="2" t="inlineStr">
        <is>
          <t>2026-10-07</t>
        </is>
      </c>
      <c r="B15" s="2" t="inlineStr">
        <is>
          <t>AMD</t>
        </is>
      </c>
      <c r="C15" s="2" t="inlineStr">
        <is>
          <t>Advanced Micro Devices</t>
        </is>
      </c>
      <c r="D15" s="2" t="inlineStr">
        <is>
          <t>position</t>
        </is>
      </c>
      <c r="E15" s="2" t="inlineStr">
        <is>
          <t>Long</t>
        </is>
      </c>
      <c r="F15" s="2" t="inlineStr">
        <is>
          <t>Closed</t>
        </is>
      </c>
      <c r="G15" s="2" t="inlineStr">
        <is>
          <t>2026-10-13</t>
        </is>
      </c>
      <c r="H15" s="2" t="inlineStr">
        <is>
          <t>2026-10-15</t>
        </is>
      </c>
      <c r="I15" s="4" t="n">
        <v>2</v>
      </c>
      <c r="J15" s="5" t="n">
        <v>605.795</v>
      </c>
      <c r="K15" s="5" t="n">
        <v>562.54</v>
      </c>
      <c r="L15" s="5" t="n">
        <v>542.86</v>
      </c>
      <c r="M15" s="7">
        <f>IFERROR(IF(E15="Short",-1,1)*(IF(K15&lt;&gt;"",K15,L15)/J15-1),"")</f>
        <v/>
      </c>
      <c r="N15" s="6">
        <f>IFERROR(I15*(IF(K15&lt;&gt;"",K15,L15)-J15),"")</f>
        <v/>
      </c>
      <c r="O15" s="8" t="n">
        <v>0.55</v>
      </c>
      <c r="P15" s="2" t="inlineStr">
        <is>
          <t>weaken</t>
        </is>
      </c>
      <c r="Q15" s="9" t="inlineStr">
        <is>
          <t>AMD's AI Chip Expansion story is rising (17%→25% share) on dated catalysts: Lisa Su's Oct 6-7 pledge of a 'substantial' 2027 supply ramp plus &gt;$10B supply-chain spend, the HPE/Vultr $1.2B Helios order validating MI450 racks, and Citi's Oct 6 $800 target. Demand outrunning supply is fresh, actionable news; AI-chip-selloff story is fading.</t>
        </is>
      </c>
    </row>
    <row r="16">
      <c r="A16" s="2" t="inlineStr">
        <is>
          <t>2026-10-07</t>
        </is>
      </c>
      <c r="B16" s="2" t="inlineStr">
        <is>
          <t>AVGO</t>
        </is>
      </c>
      <c r="C16" s="2" t="inlineStr">
        <is>
          <t>Broadcom</t>
        </is>
      </c>
      <c r="D16" s="2" t="inlineStr">
        <is>
          <t>position</t>
        </is>
      </c>
      <c r="E16" s="2" t="inlineStr">
        <is>
          <t>Long</t>
        </is>
      </c>
      <c r="F16" s="2" t="inlineStr">
        <is>
          <t>Closed (daily review)</t>
        </is>
      </c>
      <c r="G16" s="2" t="inlineStr">
        <is>
          <t>2026-10-08</t>
        </is>
      </c>
      <c r="H16" s="2" t="inlineStr">
        <is>
          <t>2026-10-09</t>
        </is>
      </c>
      <c r="I16" s="4" t="n">
        <v>7</v>
      </c>
      <c r="J16" s="5" t="n">
        <v>360.361429</v>
      </c>
      <c r="K16" s="5" t="n">
        <v>361.53</v>
      </c>
      <c r="L16" s="5" t="n">
        <v>334.975</v>
      </c>
      <c r="M16" s="7">
        <f>IFERROR(IF(E16="Short",-1,1)*(IF(K16&lt;&gt;"",K16,L16)/J16-1),"")</f>
        <v/>
      </c>
      <c r="N16" s="6">
        <f>IFERROR(I16*(IF(K16&lt;&gt;"",K16,L16)-J16),"")</f>
        <v/>
      </c>
      <c r="O16" s="8" t="n">
        <v>0.55</v>
      </c>
      <c r="P16" s="2" t="inlineStr">
        <is>
          <t>uphold</t>
        </is>
      </c>
      <c r="Q16" s="9" t="inlineStr">
        <is>
          <t>Fresh Anthropic financing news ($42B TPU lease deal, $60B AI financing plan) underpins Broadcom's reiterated $230B-by-2028 AI revenue target, and Morgan Stanley flags it resilient to data-center power shortfalls. Bullish flow, but a 7% weekly run and Anthropic concentration-risk debate cap conviction.</t>
        </is>
      </c>
    </row>
    <row r="17">
      <c r="A17" s="2" t="inlineStr">
        <is>
          <t>2026-10-07</t>
        </is>
      </c>
      <c r="B17" s="2" t="inlineStr">
        <is>
          <t>AVGO</t>
        </is>
      </c>
      <c r="C17" s="2" t="inlineStr">
        <is>
          <t>Broadcom</t>
        </is>
      </c>
      <c r="D17" s="2" t="inlineStr">
        <is>
          <t>position</t>
        </is>
      </c>
      <c r="E17" s="2" t="inlineStr">
        <is>
          <t>Long</t>
        </is>
      </c>
      <c r="F17" s="2" t="inlineStr">
        <is>
          <t>Closed (daily review)</t>
        </is>
      </c>
      <c r="G17" s="2" t="inlineStr">
        <is>
          <t>2026-10-09</t>
        </is>
      </c>
      <c r="H17" s="2" t="inlineStr">
        <is>
          <t>2026-10-13</t>
        </is>
      </c>
      <c r="I17" s="4" t="n">
        <v>4</v>
      </c>
      <c r="J17" s="5" t="n">
        <v>361.53</v>
      </c>
      <c r="K17" s="5" t="n">
        <v>357.595</v>
      </c>
      <c r="L17" s="5" t="n">
        <v>334.975</v>
      </c>
      <c r="M17" s="7">
        <f>IFERROR(IF(E17="Short",-1,1)*(IF(K17&lt;&gt;"",K17,L17)/J17-1),"")</f>
        <v/>
      </c>
      <c r="N17" s="6">
        <f>IFERROR(I17*(IF(K17&lt;&gt;"",K17,L17)-J17),"")</f>
        <v/>
      </c>
      <c r="O17" s="8" t="n">
        <v>0.55</v>
      </c>
      <c r="P17" s="2" t="inlineStr">
        <is>
          <t>uphold</t>
        </is>
      </c>
      <c r="Q17" s="9" t="inlineStr">
        <is>
          <t>Fresh Anthropic financing news ($42B TPU lease deal, $60B AI financing plan) underpins Broadcom's reiterated $230B-by-2028 AI revenue target, and Morgan Stanley flags it resilient to data-center power shortfalls. Bullish flow, but a 7% weekly run and Anthropic concentration-risk debate cap conviction.</t>
        </is>
      </c>
    </row>
    <row r="18">
      <c r="A18" s="2" t="inlineStr">
        <is>
          <t>2026-10-07</t>
        </is>
      </c>
      <c r="B18" s="2" t="inlineStr">
        <is>
          <t>AVGO</t>
        </is>
      </c>
      <c r="C18" s="2" t="inlineStr">
        <is>
          <t>Broadcom</t>
        </is>
      </c>
      <c r="D18" s="2" t="inlineStr">
        <is>
          <t>position</t>
        </is>
      </c>
      <c r="E18" s="2" t="inlineStr">
        <is>
          <t>Long</t>
        </is>
      </c>
      <c r="F18" s="2" t="inlineStr">
        <is>
          <t>Closed</t>
        </is>
      </c>
      <c r="G18" s="2" t="inlineStr">
        <is>
          <t>2026-10-13</t>
        </is>
      </c>
      <c r="H18" s="2" t="inlineStr">
        <is>
          <t>2026-10-15</t>
        </is>
      </c>
      <c r="I18" s="4" t="n">
        <v>2</v>
      </c>
      <c r="J18" s="5" t="n">
        <v>357.595</v>
      </c>
      <c r="K18" s="5" t="n">
        <v>344.42</v>
      </c>
      <c r="L18" s="5" t="n">
        <v>334.975</v>
      </c>
      <c r="M18" s="7">
        <f>IFERROR(IF(E18="Short",-1,1)*(IF(K18&lt;&gt;"",K18,L18)/J18-1),"")</f>
        <v/>
      </c>
      <c r="N18" s="6">
        <f>IFERROR(I18*(IF(K18&lt;&gt;"",K18,L18)-J18),"")</f>
        <v/>
      </c>
      <c r="O18" s="8" t="n">
        <v>0.55</v>
      </c>
      <c r="P18" s="2" t="inlineStr">
        <is>
          <t>uphold</t>
        </is>
      </c>
      <c r="Q18" s="9" t="inlineStr">
        <is>
          <t>Fresh Anthropic financing news ($42B TPU lease deal, $60B AI financing plan) underpins Broadcom's reiterated $230B-by-2028 AI revenue target, and Morgan Stanley flags it resilient to data-center power shortfalls. Bullish flow, but a 7% weekly run and Anthropic concentration-risk debate cap conviction.</t>
        </is>
      </c>
    </row>
    <row r="19">
      <c r="A19" s="2" t="inlineStr">
        <is>
          <t>2026-10-07</t>
        </is>
      </c>
      <c r="B19" s="2" t="inlineStr">
        <is>
          <t>BA</t>
        </is>
      </c>
      <c r="C19" s="2" t="inlineStr">
        <is>
          <t>Boeing</t>
        </is>
      </c>
      <c r="D19" s="2" t="inlineStr">
        <is>
          <t>position</t>
        </is>
      </c>
      <c r="E19" s="2" t="inlineStr">
        <is>
          <t>Long</t>
        </is>
      </c>
      <c r="F19" s="2" t="inlineStr">
        <is>
          <t>Closed</t>
        </is>
      </c>
      <c r="G19" s="2" t="inlineStr">
        <is>
          <t>2026-10-08</t>
        </is>
      </c>
      <c r="H19" s="2" t="inlineStr">
        <is>
          <t>2026-10-15</t>
        </is>
      </c>
      <c r="I19" s="4" t="n">
        <v>33</v>
      </c>
      <c r="J19" s="5" t="n">
        <v>187.69</v>
      </c>
      <c r="K19" s="5" t="n">
        <v>188.498788</v>
      </c>
      <c r="L19" s="5" t="n">
        <v>190.98</v>
      </c>
      <c r="M19" s="7">
        <f>IFERROR(IF(E19="Short",-1,1)*(IF(K19&lt;&gt;"",K19,L19)/J19-1),"")</f>
        <v/>
      </c>
      <c r="N19" s="6">
        <f>IFERROR(I19*(IF(K19&lt;&gt;"",K19,L19)-J19),"")</f>
        <v/>
      </c>
      <c r="O19" s="8" t="n">
        <v>0.66</v>
      </c>
      <c r="P19" s="2" t="inlineStr">
        <is>
          <t>uphold</t>
        </is>
      </c>
      <c r="Q19" s="9" t="inlineStr">
        <is>
          <t>A cluster of material wins: the $20B Navy F/A-XX award (Oct 1), a $14.7B Lockheed PAC-3 seeker contract (Oct 6), FAA clearing the 737 MAX software glitch (Oct 2), and the SPEEA deal averting a strike (Oct 1). With BA down 8.8% on the month and 25% below its high, these catalysts are not yet priced.</t>
        </is>
      </c>
    </row>
    <row r="20">
      <c r="A20" s="2" t="inlineStr">
        <is>
          <t>2026-10-07</t>
        </is>
      </c>
      <c r="B20" s="2" t="inlineStr">
        <is>
          <t>CEG</t>
        </is>
      </c>
      <c r="C20" s="2" t="inlineStr">
        <is>
          <t>Constellation Energy</t>
        </is>
      </c>
      <c r="D20" s="2" t="inlineStr">
        <is>
          <t>position</t>
        </is>
      </c>
      <c r="E20" s="2" t="inlineStr">
        <is>
          <t>Long</t>
        </is>
      </c>
      <c r="F20" s="2" t="inlineStr">
        <is>
          <t>Closed</t>
        </is>
      </c>
      <c r="G20" s="2" t="inlineStr">
        <is>
          <t>2026-10-08</t>
        </is>
      </c>
      <c r="H20" s="2" t="inlineStr">
        <is>
          <t>2026-10-15</t>
        </is>
      </c>
      <c r="I20" s="4" t="n">
        <v>10</v>
      </c>
      <c r="J20" s="5" t="n">
        <v>285.07</v>
      </c>
      <c r="K20" s="5" t="n">
        <v>276.52</v>
      </c>
      <c r="L20" s="5" t="n">
        <v>261.15</v>
      </c>
      <c r="M20" s="7">
        <f>IFERROR(IF(E20="Short",-1,1)*(IF(K20&lt;&gt;"",K20,L20)/J20-1),"")</f>
        <v/>
      </c>
      <c r="N20" s="6">
        <f>IFERROR(I20*(IF(K20&lt;&gt;"",K20,L20)-J20),"")</f>
        <v/>
      </c>
      <c r="O20" s="8" t="n">
        <v>0.6</v>
      </c>
      <c r="P20" s="2" t="inlineStr">
        <is>
          <t>uphold</t>
        </is>
      </c>
      <c r="Q20" s="9" t="inlineStr">
        <is>
          <t>Google's 20-year nuclear PPA (Oct 6) and Amazon deal (Oct 1) validate CEG's AI power demand, but the +18% week already prices much of it. Expect modest relative outperformance as analysts digest the contract, not a repeat surge.</t>
        </is>
      </c>
    </row>
    <row r="21">
      <c r="A21" s="2" t="inlineStr">
        <is>
          <t>2026-10-07</t>
        </is>
      </c>
      <c r="B21" s="2" t="inlineStr">
        <is>
          <t>GOOGL</t>
        </is>
      </c>
      <c r="C21" s="2" t="inlineStr">
        <is>
          <t>Alphabet Inc. (Class A)</t>
        </is>
      </c>
      <c r="D21" s="2" t="inlineStr">
        <is>
          <t>position</t>
        </is>
      </c>
      <c r="E21" s="2" t="inlineStr">
        <is>
          <t>Long</t>
        </is>
      </c>
      <c r="F21" s="2" t="inlineStr">
        <is>
          <t>Closed</t>
        </is>
      </c>
      <c r="G21" s="2" t="inlineStr">
        <is>
          <t>2026-10-08</t>
        </is>
      </c>
      <c r="H21" s="2" t="inlineStr">
        <is>
          <t>2026-10-15</t>
        </is>
      </c>
      <c r="I21" s="4" t="n">
        <v>9</v>
      </c>
      <c r="J21" s="5" t="n">
        <v>348.411111</v>
      </c>
      <c r="K21" s="5" t="n">
        <v>349.461111</v>
      </c>
      <c r="L21" s="5" t="n">
        <v>341.47</v>
      </c>
      <c r="M21" s="7">
        <f>IFERROR(IF(E21="Short",-1,1)*(IF(K21&lt;&gt;"",K21,L21)/J21-1),"")</f>
        <v/>
      </c>
      <c r="N21" s="6">
        <f>IFERROR(I21*(IF(K21&lt;&gt;"",K21,L21)-J21),"")</f>
        <v/>
      </c>
      <c r="O21" s="8" t="n">
        <v>0.65</v>
      </c>
      <c r="P21" s="2" t="inlineStr">
        <is>
          <t>uphold</t>
        </is>
      </c>
      <c r="Q21" s="9" t="inlineStr">
        <is>
          <t>Google's new 20-year nuclear power deal and Gemini 4 Argon launch strengthen its AI infrastructure and product position, while its Anthropic stake offers upside. These recent catalysts should support relative outperformance next week, though AI capex bubble fears and EU regulatory appeals cap gains.</t>
        </is>
      </c>
    </row>
    <row r="22">
      <c r="A22" s="2" t="inlineStr">
        <is>
          <t>2026-10-07</t>
        </is>
      </c>
      <c r="B22" s="2" t="inlineStr">
        <is>
          <t>HPE</t>
        </is>
      </c>
      <c r="C22" s="2" t="inlineStr">
        <is>
          <t>Hewlett Packard Enterprise</t>
        </is>
      </c>
      <c r="D22" s="2" t="inlineStr">
        <is>
          <t>position</t>
        </is>
      </c>
      <c r="E22" s="2" t="inlineStr">
        <is>
          <t>Long</t>
        </is>
      </c>
      <c r="F22" s="2" t="inlineStr">
        <is>
          <t>Closed</t>
        </is>
      </c>
      <c r="G22" s="2" t="inlineStr">
        <is>
          <t>2026-10-08</t>
        </is>
      </c>
      <c r="H22" s="2" t="inlineStr">
        <is>
          <t>2026-10-15</t>
        </is>
      </c>
      <c r="I22" s="4" t="n">
        <v>40</v>
      </c>
      <c r="J22" s="5" t="n">
        <v>70.92</v>
      </c>
      <c r="K22" s="5" t="n">
        <v>58.7</v>
      </c>
      <c r="L22" s="5" t="n">
        <v>56.345</v>
      </c>
      <c r="M22" s="7">
        <f>IFERROR(IF(E22="Short",-1,1)*(IF(K22&lt;&gt;"",K22,L22)/J22-1),"")</f>
        <v/>
      </c>
      <c r="N22" s="6">
        <f>IFERROR(I22*(IF(K22&lt;&gt;"",K22,L22)-J22),"")</f>
        <v/>
      </c>
      <c r="O22" s="8" t="n">
        <v>0.6</v>
      </c>
      <c r="P22" s="2" t="inlineStr">
        <is>
          <t>uphold</t>
        </is>
      </c>
      <c r="Q22" s="9" t="inlineStr">
        <is>
          <t>HPE's Sep 30 $1.2B Vultr AMD order and raised FY27 networking guidance are material positives, reinforced by Oct 1 analyst PT hikes and Oct 7 Mizuho/AMD server news. But the stock is already at a 52-week high after a +12.8% week, so much is priced; expect modest relative outperformance, not another surge.</t>
        </is>
      </c>
    </row>
    <row r="23">
      <c r="A23" s="2" t="inlineStr">
        <is>
          <t>2026-10-07</t>
        </is>
      </c>
      <c r="B23" s="2" t="inlineStr">
        <is>
          <t>LITE</t>
        </is>
      </c>
      <c r="C23" s="2" t="inlineStr">
        <is>
          <t>Lumentum</t>
        </is>
      </c>
      <c r="D23" s="2" t="inlineStr">
        <is>
          <t>position</t>
        </is>
      </c>
      <c r="E23" s="2" t="inlineStr">
        <is>
          <t>Long</t>
        </is>
      </c>
      <c r="F23" s="2" t="inlineStr">
        <is>
          <t>Closed</t>
        </is>
      </c>
      <c r="G23" s="2" t="inlineStr">
        <is>
          <t>2026-10-08</t>
        </is>
      </c>
      <c r="H23" s="2" t="inlineStr">
        <is>
          <t>2026-10-15</t>
        </is>
      </c>
      <c r="I23" s="4" t="n">
        <v>3</v>
      </c>
      <c r="J23" s="5" t="n">
        <v>1050.046667</v>
      </c>
      <c r="K23" s="5" t="n">
        <v>869.4233330000001</v>
      </c>
      <c r="L23" s="5" t="n">
        <v>822.23</v>
      </c>
      <c r="M23" s="7">
        <f>IFERROR(IF(E23="Short",-1,1)*(IF(K23&lt;&gt;"",K23,L23)/J23-1),"")</f>
        <v/>
      </c>
      <c r="N23" s="6">
        <f>IFERROR(I23*(IF(K23&lt;&gt;"",K23,L23)-J23),"")</f>
        <v/>
      </c>
      <c r="O23" s="8" t="n">
        <v>0.6</v>
      </c>
      <c r="P23" s="2" t="inlineStr">
        <is>
          <t>uphold</t>
        </is>
      </c>
      <c r="Q23" s="9" t="inlineStr">
        <is>
          <t>AI optics rally narrative is new and rising (42% share) on Nvidia CPO demand acceleration and potential US curbs on Chinese transceivers, supporting relative upside. But +14% week and near 52-week high price much in; no earnings next week. Expect moderate outperformance, not explosive.</t>
        </is>
      </c>
    </row>
    <row r="24">
      <c r="A24" s="2" t="inlineStr">
        <is>
          <t>2026-10-07</t>
        </is>
      </c>
      <c r="B24" s="2" t="inlineStr">
        <is>
          <t>LLY</t>
        </is>
      </c>
      <c r="C24" s="2" t="inlineStr">
        <is>
          <t>Lilly (Eli)</t>
        </is>
      </c>
      <c r="D24" s="2" t="inlineStr">
        <is>
          <t>position</t>
        </is>
      </c>
      <c r="E24" s="2" t="inlineStr">
        <is>
          <t>Long</t>
        </is>
      </c>
      <c r="F24" s="2" t="inlineStr">
        <is>
          <t>Closed</t>
        </is>
      </c>
      <c r="G24" s="2" t="inlineStr">
        <is>
          <t>2026-10-08</t>
        </is>
      </c>
      <c r="H24" s="2" t="inlineStr">
        <is>
          <t>2026-10-15</t>
        </is>
      </c>
      <c r="I24" s="4" t="n">
        <v>2</v>
      </c>
      <c r="J24" s="5" t="n">
        <v>1170.25</v>
      </c>
      <c r="K24" s="5" t="n">
        <v>1253.68</v>
      </c>
      <c r="L24" s="5" t="n">
        <v>1296.15</v>
      </c>
      <c r="M24" s="7">
        <f>IFERROR(IF(E24="Short",-1,1)*(IF(K24&lt;&gt;"",K24,L24)/J24-1),"")</f>
        <v/>
      </c>
      <c r="N24" s="6">
        <f>IFERROR(I24*(IF(K24&lt;&gt;"",K24,L24)-J24),"")</f>
        <v/>
      </c>
      <c r="O24" s="8" t="n">
        <v>0.55</v>
      </c>
      <c r="P24" s="2" t="inlineStr">
        <is>
          <t>uphold</t>
        </is>
      </c>
      <c r="Q24" s="9" t="inlineStr">
        <is>
          <t>Net-positive news flow: FDA expanded Jaypirca label (Oct 2), Gate Bioscience deal up to $870M (Oct 5), and Foundayo/retatrutide data reinforce GLP-1 leadership vs Novo. Foghorn cancer-deal termination is minor and mostly hits Foghorn. Stock already up 2.7% on the week, so the edge is modest.</t>
        </is>
      </c>
    </row>
    <row r="25">
      <c r="A25" s="2" t="inlineStr">
        <is>
          <t>2026-10-07</t>
        </is>
      </c>
      <c r="B25" s="2" t="inlineStr">
        <is>
          <t>MRVL</t>
        </is>
      </c>
      <c r="C25" s="2" t="inlineStr">
        <is>
          <t>Marvell Technology</t>
        </is>
      </c>
      <c r="D25" s="2" t="inlineStr">
        <is>
          <t>position</t>
        </is>
      </c>
      <c r="E25" s="2" t="inlineStr">
        <is>
          <t>Long</t>
        </is>
      </c>
      <c r="F25" s="2" t="inlineStr">
        <is>
          <t>Closed</t>
        </is>
      </c>
      <c r="G25" s="2" t="inlineStr">
        <is>
          <t>2026-10-08</t>
        </is>
      </c>
      <c r="H25" s="2" t="inlineStr">
        <is>
          <t>2026-10-15</t>
        </is>
      </c>
      <c r="I25" s="4" t="n">
        <v>23</v>
      </c>
      <c r="J25" s="5" t="n">
        <v>274.618695</v>
      </c>
      <c r="K25" s="5" t="n">
        <v>241.535</v>
      </c>
      <c r="L25" s="5" t="n">
        <v>241.5</v>
      </c>
      <c r="M25" s="7">
        <f>IFERROR(IF(E25="Short",-1,1)*(IF(K25&lt;&gt;"",K25,L25)/J25-1),"")</f>
        <v/>
      </c>
      <c r="N25" s="6">
        <f>IFERROR(I25*(IF(K25&lt;&gt;"",K25,L25)-J25),"")</f>
        <v/>
      </c>
      <c r="O25" s="8" t="n">
        <v>0.68</v>
      </c>
      <c r="P25" s="2" t="inlineStr">
        <is>
          <t>uphold</t>
        </is>
      </c>
      <c r="Q25" s="9" t="inlineStr">
        <is>
          <t>Oct 6 investor day raised FY28 revenue to $20B above consensus and set a $70-90B FY31 target, triggering a 7% jump and multiple PT hikes (Piper/BofA to $400). The new AI expansion story is now 61% of coverage. Positive news diffusion likely continues next week, though valuation debate caps upside.</t>
        </is>
      </c>
    </row>
    <row r="26">
      <c r="A26" s="2" t="inlineStr">
        <is>
          <t>2026-10-07</t>
        </is>
      </c>
      <c r="B26" s="2" t="inlineStr">
        <is>
          <t>NVDA</t>
        </is>
      </c>
      <c r="C26" s="2" t="inlineStr">
        <is>
          <t>Nvidia</t>
        </is>
      </c>
      <c r="D26" s="2" t="inlineStr">
        <is>
          <t>position</t>
        </is>
      </c>
      <c r="E26" s="2" t="inlineStr">
        <is>
          <t>Long</t>
        </is>
      </c>
      <c r="F26" s="2" t="inlineStr">
        <is>
          <t>Closed (daily review)</t>
        </is>
      </c>
      <c r="G26" s="2" t="inlineStr">
        <is>
          <t>2026-10-08</t>
        </is>
      </c>
      <c r="H26" s="2" t="inlineStr">
        <is>
          <t>2026-10-14</t>
        </is>
      </c>
      <c r="I26" s="4" t="n">
        <v>14</v>
      </c>
      <c r="J26" s="5" t="n">
        <v>230.494286</v>
      </c>
      <c r="K26" s="5" t="n">
        <v>221.17</v>
      </c>
      <c r="L26" s="5" t="n">
        <v>217.05</v>
      </c>
      <c r="M26" s="7">
        <f>IFERROR(IF(E26="Short",-1,1)*(IF(K26&lt;&gt;"",K26,L26)/J26-1),"")</f>
        <v/>
      </c>
      <c r="N26" s="6">
        <f>IFERROR(I26*(IF(K26&lt;&gt;"",K26,L26)-J26),"")</f>
        <v/>
      </c>
      <c r="O26" s="8" t="n">
        <v>0.66</v>
      </c>
      <c r="P26" s="2" t="inlineStr">
        <is>
          <t>weaken</t>
        </is>
      </c>
      <c r="Q26" s="9" t="inlineStr">
        <is>
          <t>Nvidia's $150B buyback (Sep 28) and fresh SpaceX $40B chip purchase (Oct 6) reinforce AI demand, while Micron's Q4 beat confirms memory/AI strength. China chip-sale easing adds upside. With no earnings next week, these active positive events should drive relative outperformance, though much is near the price.</t>
        </is>
      </c>
    </row>
    <row r="27">
      <c r="A27" s="2" t="inlineStr">
        <is>
          <t>2026-10-07</t>
        </is>
      </c>
      <c r="B27" s="2" t="inlineStr">
        <is>
          <t>NVDA</t>
        </is>
      </c>
      <c r="C27" s="2" t="inlineStr">
        <is>
          <t>Nvidia</t>
        </is>
      </c>
      <c r="D27" s="2" t="inlineStr">
        <is>
          <t>position</t>
        </is>
      </c>
      <c r="E27" s="2" t="inlineStr">
        <is>
          <t>Long</t>
        </is>
      </c>
      <c r="F27" s="2" t="inlineStr">
        <is>
          <t>Closed</t>
        </is>
      </c>
      <c r="G27" s="2" t="inlineStr">
        <is>
          <t>2026-10-14</t>
        </is>
      </c>
      <c r="H27" s="2" t="inlineStr">
        <is>
          <t>2026-10-15</t>
        </is>
      </c>
      <c r="I27" s="4" t="n">
        <v>7</v>
      </c>
      <c r="J27" s="5" t="n">
        <v>221.17</v>
      </c>
      <c r="K27" s="5" t="n">
        <v>217.33</v>
      </c>
      <c r="L27" s="5" t="n">
        <v>217.05</v>
      </c>
      <c r="M27" s="7">
        <f>IFERROR(IF(E27="Short",-1,1)*(IF(K27&lt;&gt;"",K27,L27)/J27-1),"")</f>
        <v/>
      </c>
      <c r="N27" s="6">
        <f>IFERROR(I27*(IF(K27&lt;&gt;"",K27,L27)-J27),"")</f>
        <v/>
      </c>
      <c r="O27" s="8" t="n">
        <v>0.66</v>
      </c>
      <c r="P27" s="2" t="inlineStr">
        <is>
          <t>weaken</t>
        </is>
      </c>
      <c r="Q27" s="9" t="inlineStr">
        <is>
          <t>Nvidia's $150B buyback (Sep 28) and fresh SpaceX $40B chip purchase (Oct 6) reinforce AI demand, while Micron's Q4 beat confirms memory/AI strength. China chip-sale easing adds upside. With no earnings next week, these active positive events should drive relative outperformance, though much is near the price.</t>
        </is>
      </c>
    </row>
    <row r="28">
      <c r="A28" s="2" t="inlineStr">
        <is>
          <t>2026-10-07</t>
        </is>
      </c>
      <c r="B28" s="2" t="inlineStr">
        <is>
          <t>BRK.B</t>
        </is>
      </c>
      <c r="C28" s="2" t="inlineStr">
        <is>
          <t>Berkshire Hathaway</t>
        </is>
      </c>
      <c r="D28" s="2" t="inlineStr">
        <is>
          <t>position</t>
        </is>
      </c>
      <c r="E28" s="2" t="inlineStr">
        <is>
          <t>Short</t>
        </is>
      </c>
      <c r="F28" s="2" t="inlineStr">
        <is>
          <t>Closed</t>
        </is>
      </c>
      <c r="G28" s="2" t="inlineStr">
        <is>
          <t>2026-10-08</t>
        </is>
      </c>
      <c r="H28" s="2" t="inlineStr">
        <is>
          <t>2026-10-15</t>
        </is>
      </c>
      <c r="I28" s="4" t="n">
        <v>-4</v>
      </c>
      <c r="J28" s="5" t="n">
        <v>511.0499877929688</v>
      </c>
      <c r="K28" s="5" t="n">
        <v>526.15</v>
      </c>
      <c r="L28" s="5" t="n">
        <v>538.34</v>
      </c>
      <c r="M28" s="7">
        <f>IFERROR(IF(E28="Short",-1,1)*(IF(K28&lt;&gt;"",K28,L28)/J28-1),"")</f>
        <v/>
      </c>
      <c r="N28" s="6">
        <f>IFERROR(I28*(IF(K28&lt;&gt;"",K28,L28)-J28),"")</f>
        <v/>
      </c>
      <c r="O28" s="8" t="n">
        <v>0.4</v>
      </c>
      <c r="P28" s="2" t="inlineStr">
        <is>
          <t>uphold</t>
        </is>
      </c>
      <c r="Q28" s="9" t="inlineStr">
        <is>
          <t>New subsidiary story [9] surges to 22% share, led by Texas AG civil investigative demands into Fruit of the Loom (Oct 07) over toxic chemicals—a fresh regulatory risk. Combined with skepticism over Abel's Lennar buying (Oct 06), slight negative for BRK.B next week.</t>
        </is>
      </c>
    </row>
    <row r="29">
      <c r="A29" s="2" t="inlineStr">
        <is>
          <t>2026-10-07</t>
        </is>
      </c>
      <c r="B29" s="2" t="inlineStr">
        <is>
          <t>LULU</t>
        </is>
      </c>
      <c r="C29" s="2" t="inlineStr">
        <is>
          <t>Lululemon Athletica</t>
        </is>
      </c>
      <c r="D29" s="2" t="inlineStr">
        <is>
          <t>position</t>
        </is>
      </c>
      <c r="E29" s="2" t="inlineStr">
        <is>
          <t>Short</t>
        </is>
      </c>
      <c r="F29" s="2" t="inlineStr">
        <is>
          <t>Closed</t>
        </is>
      </c>
      <c r="G29" s="2" t="inlineStr">
        <is>
          <t>2026-10-08</t>
        </is>
      </c>
      <c r="H29" s="2" t="inlineStr">
        <is>
          <t>2026-10-15</t>
        </is>
      </c>
      <c r="I29" s="4" t="n">
        <v>-32</v>
      </c>
      <c r="J29" s="5" t="n">
        <v>92.70999999999999</v>
      </c>
      <c r="K29" s="5" t="n">
        <v>99.13124999999999</v>
      </c>
      <c r="L29" s="5" t="n">
        <v>98.66</v>
      </c>
      <c r="M29" s="7">
        <f>IFERROR(IF(E29="Short",-1,1)*(IF(K29&lt;&gt;"",K29,L29)/J29-1),"")</f>
        <v/>
      </c>
      <c r="N29" s="6">
        <f>IFERROR(I29*(IF(K29&lt;&gt;"",K29,L29)-J29),"")</f>
        <v/>
      </c>
      <c r="O29" s="8" t="n">
        <v>0.6</v>
      </c>
      <c r="P29" s="2" t="inlineStr">
        <is>
          <t>uphold</t>
        </is>
      </c>
      <c r="Q29" s="9" t="inlineStr">
        <is>
          <t>Burry sold LULU for tax-loss harvesting and swapped to Deckers (Oct 6), a negative flow signal. Oct 7 leadership overhaul adds uncertainty; stock at 52-week low with no earnings catalyst. Valuation debate fading. Expect underperformance next week.</t>
        </is>
      </c>
    </row>
    <row r="30">
      <c r="A30" s="2" t="inlineStr">
        <is>
          <t>2026-10-07</t>
        </is>
      </c>
      <c r="B30" s="2" t="inlineStr">
        <is>
          <t>MCD</t>
        </is>
      </c>
      <c r="C30" s="2" t="inlineStr">
        <is>
          <t>McDonald's</t>
        </is>
      </c>
      <c r="D30" s="2" t="inlineStr">
        <is>
          <t>position</t>
        </is>
      </c>
      <c r="E30" s="2" t="inlineStr">
        <is>
          <t>Short</t>
        </is>
      </c>
      <c r="F30" s="2" t="inlineStr">
        <is>
          <t>Closed</t>
        </is>
      </c>
      <c r="G30" s="2" t="inlineStr">
        <is>
          <t>2026-10-08</t>
        </is>
      </c>
      <c r="H30" s="2" t="inlineStr">
        <is>
          <t>2026-10-15</t>
        </is>
      </c>
      <c r="I30" s="4" t="n">
        <v>-13</v>
      </c>
      <c r="J30" s="5" t="n">
        <v>236.64</v>
      </c>
      <c r="K30" s="5" t="n">
        <v>242.642308</v>
      </c>
      <c r="L30" s="5" t="n">
        <v>246.21</v>
      </c>
      <c r="M30" s="7">
        <f>IFERROR(IF(E30="Short",-1,1)*(IF(K30&lt;&gt;"",K30,L30)/J30-1),"")</f>
        <v/>
      </c>
      <c r="N30" s="6">
        <f>IFERROR(I30*(IF(K30&lt;&gt;"",K30,L30)-J30),"")</f>
        <v/>
      </c>
      <c r="O30" s="8" t="n">
        <v>0.6</v>
      </c>
      <c r="P30" s="2" t="inlineStr">
        <is>
          <t>uphold</t>
        </is>
      </c>
      <c r="Q30" s="9" t="inlineStr">
        <is>
          <t>New AI pricing antitrust lawsuit (Oct 5-7) adds legal overhang to MCD's already weak sentiment. Franchisee pushback on $8.5B overhaul and analyst skepticism on strategy update suggest continued underperformance next week. Stock is oversold but negative news is fresh.</t>
        </is>
      </c>
    </row>
    <row r="31">
      <c r="A31" s="2" t="inlineStr">
        <is>
          <t>2026-10-07</t>
        </is>
      </c>
      <c r="B31" s="2" t="inlineStr">
        <is>
          <t>META</t>
        </is>
      </c>
      <c r="C31" s="2" t="inlineStr">
        <is>
          <t>Meta Platforms</t>
        </is>
      </c>
      <c r="D31" s="2" t="inlineStr">
        <is>
          <t>position</t>
        </is>
      </c>
      <c r="E31" s="2" t="inlineStr">
        <is>
          <t>Short</t>
        </is>
      </c>
      <c r="F31" s="2" t="inlineStr">
        <is>
          <t>Closed</t>
        </is>
      </c>
      <c r="G31" s="2" t="inlineStr">
        <is>
          <t>2026-10-08</t>
        </is>
      </c>
      <c r="H31" s="2" t="inlineStr">
        <is>
          <t>2026-10-15</t>
        </is>
      </c>
      <c r="I31" s="4" t="n">
        <v>-4</v>
      </c>
      <c r="J31" s="5" t="n">
        <v>720.8099999999999</v>
      </c>
      <c r="K31" s="5" t="n">
        <v>736.4924999999999</v>
      </c>
      <c r="L31" s="5" t="n">
        <v>690.17</v>
      </c>
      <c r="M31" s="7">
        <f>IFERROR(IF(E31="Short",-1,1)*(IF(K31&lt;&gt;"",K31,L31)/J31-1),"")</f>
        <v/>
      </c>
      <c r="N31" s="6">
        <f>IFERROR(I31*(IF(K31&lt;&gt;"",K31,L31)-J31),"")</f>
        <v/>
      </c>
      <c r="O31" s="8" t="n">
        <v>0.55</v>
      </c>
      <c r="P31" s="2" t="inlineStr">
        <is>
          <t>uphold</t>
        </is>
      </c>
      <c r="Q31" s="9" t="inlineStr">
        <is>
          <t>Muse's 27% run has priced in the AI-agent upside (story share fading 28%-&gt;19%), while two negative overhangs are rising: New Mexico seeks up to $40B with a ruling due this month, and Ofcom opened a UK probe Oct 6. Capex-debt worries (Meta owes $22B more than it holds) add pressure. Risk skewed down near-term.</t>
        </is>
      </c>
    </row>
    <row r="32">
      <c r="A32" s="2" t="inlineStr">
        <is>
          <t>2026-10-07</t>
        </is>
      </c>
      <c r="B32" s="2" t="inlineStr">
        <is>
          <t>NKE</t>
        </is>
      </c>
      <c r="C32" s="2" t="inlineStr">
        <is>
          <t>Nike, Inc.</t>
        </is>
      </c>
      <c r="D32" s="2" t="inlineStr">
        <is>
          <t>position</t>
        </is>
      </c>
      <c r="E32" s="2" t="inlineStr">
        <is>
          <t>Short</t>
        </is>
      </c>
      <c r="F32" s="2" t="inlineStr">
        <is>
          <t>Closed</t>
        </is>
      </c>
      <c r="G32" s="2" t="inlineStr">
        <is>
          <t>2026-10-08</t>
        </is>
      </c>
      <c r="H32" s="2" t="inlineStr">
        <is>
          <t>2026-10-15</t>
        </is>
      </c>
      <c r="I32" s="4" t="n">
        <v>-187</v>
      </c>
      <c r="J32" s="5" t="n">
        <v>34.761176</v>
      </c>
      <c r="K32" s="5" t="n">
        <v>37.13999938964844</v>
      </c>
      <c r="L32" s="5" t="n">
        <v>37.78</v>
      </c>
      <c r="M32" s="7">
        <f>IFERROR(IF(E32="Short",-1,1)*(IF(K32&lt;&gt;"",K32,L32)/J32-1),"")</f>
        <v/>
      </c>
      <c r="N32" s="6">
        <f>IFERROR(I32*(IF(K32&lt;&gt;"",K32,L32)-J32),"")</f>
        <v/>
      </c>
      <c r="O32" s="8" t="n">
        <v>0.65</v>
      </c>
      <c r="P32" s="2" t="inlineStr">
        <is>
          <t>uphold</t>
        </is>
      </c>
      <c r="Q32" s="9" t="inlineStr">
        <is>
          <t>Nike's Q1 revenue miss and weak FY27 guidance (Oct 1) triggered analyst downgrades and PT cuts, with China reset and turnaround doubts persisting. Despite a 12-year low, negative news flow and rising 'stock collapse' coverage suggest NKE underperforms peers next week.</t>
        </is>
      </c>
    </row>
    <row r="33">
      <c r="A33" s="2" t="inlineStr">
        <is>
          <t>2026-10-07</t>
        </is>
      </c>
      <c r="B33" s="2" t="inlineStr">
        <is>
          <t>PEP</t>
        </is>
      </c>
      <c r="C33" s="2" t="inlineStr">
        <is>
          <t>PepsiCo</t>
        </is>
      </c>
      <c r="D33" s="2" t="inlineStr">
        <is>
          <t>position</t>
        </is>
      </c>
      <c r="E33" s="2" t="inlineStr">
        <is>
          <t>Short</t>
        </is>
      </c>
      <c r="F33" s="2" t="inlineStr">
        <is>
          <t>Closed (daily review)</t>
        </is>
      </c>
      <c r="G33" s="2" t="inlineStr">
        <is>
          <t>2026-10-08</t>
        </is>
      </c>
      <c r="H33" s="2" t="inlineStr">
        <is>
          <t>2026-10-09</t>
        </is>
      </c>
      <c r="I33" s="4" t="n">
        <v>-16</v>
      </c>
      <c r="J33" s="5" t="n">
        <v>128.19</v>
      </c>
      <c r="K33" s="5" t="n">
        <v>125.99375</v>
      </c>
      <c r="L33" s="5" t="n">
        <v>133.81</v>
      </c>
      <c r="M33" s="7">
        <f>IFERROR(IF(E33="Short",-1,1)*(IF(K33&lt;&gt;"",K33,L33)/J33-1),"")</f>
        <v/>
      </c>
      <c r="N33" s="6">
        <f>IFERROR(I33*(IF(K33&lt;&gt;"",K33,L33)-J33),"")</f>
        <v/>
      </c>
      <c r="O33" s="8" t="n">
        <v>0.4</v>
      </c>
      <c r="P33" s="2" t="inlineStr">
        <is>
          <t>uphold</t>
        </is>
      </c>
      <c r="Q33" s="9" t="inlineStr">
        <is>
          <t>News flow stays negative into the Oct 8 Q3 print: RBC sees a 'soft' September quarter, Barclays/UBS/RBC/Wells Fargo all cut targets, and two downgrades hit in two days. Wall Street is explicitly favoring KO over PEP. India label-ban suit adds regulatory noise. Earnings sits outside the holding week, so the edge is modest and largely sentiment-driven.</t>
        </is>
      </c>
    </row>
    <row r="34">
      <c r="A34" s="2" t="inlineStr">
        <is>
          <t>2026-10-07</t>
        </is>
      </c>
      <c r="B34" s="2" t="inlineStr">
        <is>
          <t>PEP</t>
        </is>
      </c>
      <c r="C34" s="2" t="inlineStr">
        <is>
          <t>PepsiCo</t>
        </is>
      </c>
      <c r="D34" s="2" t="inlineStr">
        <is>
          <t>position</t>
        </is>
      </c>
      <c r="E34" s="2" t="inlineStr">
        <is>
          <t>Short</t>
        </is>
      </c>
      <c r="F34" s="2" t="inlineStr">
        <is>
          <t>Closed</t>
        </is>
      </c>
      <c r="G34" s="2" t="inlineStr">
        <is>
          <t>2026-10-09</t>
        </is>
      </c>
      <c r="H34" s="2" t="inlineStr">
        <is>
          <t>2026-10-15</t>
        </is>
      </c>
      <c r="I34" s="4" t="n">
        <v>-8</v>
      </c>
      <c r="J34" s="5" t="n">
        <v>125.99375</v>
      </c>
      <c r="K34" s="5" t="n">
        <v>128.4175</v>
      </c>
      <c r="L34" s="5" t="n">
        <v>133.81</v>
      </c>
      <c r="M34" s="7">
        <f>IFERROR(IF(E34="Short",-1,1)*(IF(K34&lt;&gt;"",K34,L34)/J34-1),"")</f>
        <v/>
      </c>
      <c r="N34" s="6">
        <f>IFERROR(I34*(IF(K34&lt;&gt;"",K34,L34)-J34),"")</f>
        <v/>
      </c>
      <c r="O34" s="8" t="n">
        <v>0.4</v>
      </c>
      <c r="P34" s="2" t="inlineStr">
        <is>
          <t>uphold</t>
        </is>
      </c>
      <c r="Q34" s="9" t="inlineStr">
        <is>
          <t>News flow stays negative into the Oct 8 Q3 print: RBC sees a 'soft' September quarter, Barclays/UBS/RBC/Wells Fargo all cut targets, and two downgrades hit in two days. Wall Street is explicitly favoring KO over PEP. India label-ban suit adds regulatory noise. Earnings sits outside the holding week, so the edge is modest and largely sentiment-driven.</t>
        </is>
      </c>
    </row>
    <row r="35">
      <c r="A35" s="2" t="inlineStr">
        <is>
          <t>2026-10-07</t>
        </is>
      </c>
      <c r="B35" s="2" t="inlineStr">
        <is>
          <t>SNDK</t>
        </is>
      </c>
      <c r="C35" s="2" t="inlineStr">
        <is>
          <t>Sandisk</t>
        </is>
      </c>
      <c r="D35" s="2" t="inlineStr">
        <is>
          <t>position</t>
        </is>
      </c>
      <c r="E35" s="2" t="inlineStr">
        <is>
          <t>Short</t>
        </is>
      </c>
      <c r="F35" s="2" t="inlineStr">
        <is>
          <t>Closed (daily review)</t>
        </is>
      </c>
      <c r="G35" s="2" t="inlineStr">
        <is>
          <t>2026-10-08</t>
        </is>
      </c>
      <c r="H35" s="2" t="inlineStr">
        <is>
          <t>2026-10-09</t>
        </is>
      </c>
      <c r="I35" s="4" t="n">
        <v>-1</v>
      </c>
      <c r="J35" s="5" t="n">
        <v>1609.49</v>
      </c>
      <c r="K35" s="5" t="n">
        <v>1581.73</v>
      </c>
      <c r="L35" s="5" t="n">
        <v>1380.36</v>
      </c>
      <c r="M35" s="7">
        <f>IFERROR(IF(E35="Short",-1,1)*(IF(K35&lt;&gt;"",K35,L35)/J35-1),"")</f>
        <v/>
      </c>
      <c r="N35" s="6">
        <f>IFERROR(I35*(IF(K35&lt;&gt;"",K35,L35)-J35),"")</f>
        <v/>
      </c>
      <c r="O35" s="8" t="n">
        <v>0.4</v>
      </c>
      <c r="P35" s="2" t="inlineStr">
        <is>
          <t>uphold</t>
        </is>
      </c>
      <c r="Q35" s="9" t="inlineStr">
        <is>
          <t>Bullish coverage is crowded price-target chatter (Surge story 34% share, Mizuho $2050, $175 target reset), not new information. Genuine news is negative: Toshiba doubling HDD output (Oct 1) and SK Hynix earnings caution (Oct 6) pressure memory-pricing sentiment. Stock already down 1w/1m and 27% off high; expect relative weakness.</t>
        </is>
      </c>
    </row>
    <row r="36">
      <c r="A36" s="2" t="inlineStr">
        <is>
          <t>2026-10-07</t>
        </is>
      </c>
      <c r="B36" s="2" t="inlineStr">
        <is>
          <t>SNDK</t>
        </is>
      </c>
      <c r="C36" s="2" t="inlineStr">
        <is>
          <t>Sandisk</t>
        </is>
      </c>
      <c r="D36" s="2" t="inlineStr">
        <is>
          <t>position</t>
        </is>
      </c>
      <c r="E36" s="2" t="inlineStr">
        <is>
          <t>Short</t>
        </is>
      </c>
      <c r="F36" s="2" t="inlineStr">
        <is>
          <t>Closed</t>
        </is>
      </c>
      <c r="G36" s="2" t="inlineStr">
        <is>
          <t>2026-10-09</t>
        </is>
      </c>
      <c r="H36" s="2" t="inlineStr">
        <is>
          <t>2026-10-15</t>
        </is>
      </c>
      <c r="I36" s="4" t="n">
        <v>-2</v>
      </c>
      <c r="J36" s="5" t="n">
        <v>1581.73</v>
      </c>
      <c r="K36" s="5" t="n">
        <v>1395.31</v>
      </c>
      <c r="L36" s="5" t="n">
        <v>1380.36</v>
      </c>
      <c r="M36" s="7">
        <f>IFERROR(IF(E36="Short",-1,1)*(IF(K36&lt;&gt;"",K36,L36)/J36-1),"")</f>
        <v/>
      </c>
      <c r="N36" s="6">
        <f>IFERROR(I36*(IF(K36&lt;&gt;"",K36,L36)-J36),"")</f>
        <v/>
      </c>
      <c r="O36" s="8" t="n">
        <v>0.4</v>
      </c>
      <c r="P36" s="2" t="inlineStr">
        <is>
          <t>uphold</t>
        </is>
      </c>
      <c r="Q36" s="9" t="inlineStr">
        <is>
          <t>Bullish coverage is crowded price-target chatter (Surge story 34% share, Mizuho $2050, $175 target reset), not new information. Genuine news is negative: Toshiba doubling HDD output (Oct 1) and SK Hynix earnings caution (Oct 6) pressure memory-pricing sentiment. Stock already down 1w/1m and 27% off high; expect relative weakness.</t>
        </is>
      </c>
    </row>
    <row r="37">
      <c r="A37" s="2" t="inlineStr">
        <is>
          <t>2026-10-07</t>
        </is>
      </c>
      <c r="B37" s="2" t="inlineStr">
        <is>
          <t>STX</t>
        </is>
      </c>
      <c r="C37" s="2" t="inlineStr">
        <is>
          <t>Seagate Technology</t>
        </is>
      </c>
      <c r="D37" s="2" t="inlineStr">
        <is>
          <t>position</t>
        </is>
      </c>
      <c r="E37" s="2" t="inlineStr">
        <is>
          <t>Short</t>
        </is>
      </c>
      <c r="F37" s="2" t="inlineStr">
        <is>
          <t>Closed</t>
        </is>
      </c>
      <c r="G37" s="2" t="inlineStr">
        <is>
          <t>2026-10-08</t>
        </is>
      </c>
      <c r="H37" s="2" t="inlineStr">
        <is>
          <t>2026-10-15</t>
        </is>
      </c>
      <c r="I37" s="4" t="n">
        <v>-3</v>
      </c>
      <c r="J37" s="5" t="n">
        <v>775.35</v>
      </c>
      <c r="K37" s="5" t="n">
        <v>691.4699999999999</v>
      </c>
      <c r="L37" s="5" t="n">
        <v>674.4</v>
      </c>
      <c r="M37" s="7">
        <f>IFERROR(IF(E37="Short",-1,1)*(IF(K37&lt;&gt;"",K37,L37)/J37-1),"")</f>
        <v/>
      </c>
      <c r="N37" s="6">
        <f>IFERROR(I37*(IF(K37&lt;&gt;"",K37,L37)-J37),"")</f>
        <v/>
      </c>
      <c r="O37" s="8" t="n">
        <v>0.5</v>
      </c>
      <c r="P37" s="2" t="inlineStr">
        <is>
          <t>uphold</t>
        </is>
      </c>
      <c r="Q37" s="9" t="inlineStr">
        <is>
          <t>Toshiba's Oct 2 plan to double AI HDD capacity by FY2027 is a genuine duopoly threat, and the story is exploding (49% of coverage vs 17% avg), keeping competitive/pricing pressure in focus. The 12% drop and Oct 5 analyst pushback mean much is priced, but the Oct 6 TDK bid adds uncertainty. Mild underperformance.</t>
        </is>
      </c>
    </row>
    <row r="38">
      <c r="A38" s="2" t="inlineStr">
        <is>
          <t>2026-10-07</t>
        </is>
      </c>
      <c r="B38" s="2" t="inlineStr">
        <is>
          <t>WDC</t>
        </is>
      </c>
      <c r="C38" s="2" t="inlineStr">
        <is>
          <t>Western Digital</t>
        </is>
      </c>
      <c r="D38" s="2" t="inlineStr">
        <is>
          <t>position</t>
        </is>
      </c>
      <c r="E38" s="2" t="inlineStr">
        <is>
          <t>Short</t>
        </is>
      </c>
      <c r="F38" s="2" t="inlineStr">
        <is>
          <t>Closed</t>
        </is>
      </c>
      <c r="G38" s="2" t="inlineStr">
        <is>
          <t>2026-10-08</t>
        </is>
      </c>
      <c r="H38" s="2" t="inlineStr">
        <is>
          <t>2026-10-15</t>
        </is>
      </c>
      <c r="I38" s="4" t="n">
        <v>-8</v>
      </c>
      <c r="J38" s="5" t="n">
        <v>393.05</v>
      </c>
      <c r="K38" s="5" t="n">
        <v>356.53</v>
      </c>
      <c r="L38" s="5" t="n">
        <v>359.54</v>
      </c>
      <c r="M38" s="7">
        <f>IFERROR(IF(E38="Short",-1,1)*(IF(K38&lt;&gt;"",K38,L38)/J38-1),"")</f>
        <v/>
      </c>
      <c r="N38" s="6">
        <f>IFERROR(I38*(IF(K38&lt;&gt;"",K38,L38)-J38),"")</f>
        <v/>
      </c>
      <c r="O38" s="8" t="n">
        <v>0.6</v>
      </c>
      <c r="P38" s="2" t="inlineStr">
        <is>
          <t>uphold</t>
        </is>
      </c>
      <c r="Q38" s="9" t="inlineStr">
        <is>
          <t>Toshiba's Oct 2 plan to double HDD capacity threatens WDC's AI storage pricing power; the competitive story is gaining share while WDC's earnings narrative fades. Despite a 10% drop, the supply threat is not fully resolved, so WDC likely lags peers next week.</t>
        </is>
      </c>
    </row>
    <row r="39">
      <c r="A39" s="2" t="inlineStr">
        <is>
          <t>2026-10-14</t>
        </is>
      </c>
      <c r="B39" s="2" t="inlineStr">
        <is>
          <t>AVGO</t>
        </is>
      </c>
      <c r="C39" s="2" t="inlineStr">
        <is>
          <t>AVGO</t>
        </is>
      </c>
      <c r="D39" s="2" t="inlineStr">
        <is>
          <t>position (lifecycle)</t>
        </is>
      </c>
      <c r="E39" s="2" t="inlineStr">
        <is>
          <t>Long</t>
        </is>
      </c>
      <c r="F39" s="2" t="inlineStr">
        <is>
          <t>Closed</t>
        </is>
      </c>
      <c r="G39" s="2" t="inlineStr">
        <is>
          <t>2026-10-15</t>
        </is>
      </c>
      <c r="H39" s="2" t="inlineStr">
        <is>
          <t>2026-10-15</t>
        </is>
      </c>
      <c r="I39" s="4" t="n">
        <v>2</v>
      </c>
      <c r="J39" s="5" t="n">
        <v>344.3299865722656</v>
      </c>
      <c r="K39" s="5" t="n">
        <v>344.42</v>
      </c>
      <c r="L39" s="5" t="n">
        <v>334.975</v>
      </c>
      <c r="M39" s="7">
        <f>IFERROR(IF(E39="Short",-1,1)*(IF(K39&lt;&gt;"",K39,L39)/J39-1),"")</f>
        <v/>
      </c>
      <c r="N39" s="6">
        <f>IFERROR(I39*(IF(K39&lt;&gt;"",K39,L39)-J39),"")</f>
        <v/>
      </c>
      <c r="O39" s="8" t="n">
        <v>0.5600000000000001</v>
      </c>
      <c r="P39" s="2" t="n"/>
      <c r="Q39" s="9" t="inlineStr">
        <is>
          <t>AVGO-specific negative: the new 'AI funding bottleneck' story jumped from 7% to 24% of coverage, centered on Broadcom—CEO Hock Tan calling AI investors 'casino gamblers' (Oct 12) and AVGO arranging $50B OpenAI financing plus a $42B Anthropic loan raises vendor-financing/balance-sheet worry. With OpenAI's $20B revenue miss and chips in a 6-day slide, AVGO likely lags next week.</t>
        </is>
      </c>
    </row>
    <row r="40">
      <c r="A40" s="2" t="inlineStr">
        <is>
          <t>2026-10-14</t>
        </is>
      </c>
      <c r="B40" s="2" t="inlineStr">
        <is>
          <t>BA</t>
        </is>
      </c>
      <c r="C40" s="2" t="inlineStr">
        <is>
          <t>BA</t>
        </is>
      </c>
      <c r="D40" s="2" t="inlineStr">
        <is>
          <t>position (lifecycle)</t>
        </is>
      </c>
      <c r="E40" s="2" t="inlineStr">
        <is>
          <t>Long</t>
        </is>
      </c>
      <c r="F40" s="2" t="inlineStr">
        <is>
          <t>Closed</t>
        </is>
      </c>
      <c r="G40" s="2" t="inlineStr">
        <is>
          <t>2026-10-15</t>
        </is>
      </c>
      <c r="H40" s="2" t="inlineStr">
        <is>
          <t>2026-10-15</t>
        </is>
      </c>
      <c r="I40" s="4" t="n">
        <v>33</v>
      </c>
      <c r="J40" s="5" t="n">
        <v>188.7299957275391</v>
      </c>
      <c r="K40" s="5" t="n">
        <v>188.498788</v>
      </c>
      <c r="L40" s="5" t="n">
        <v>190.98</v>
      </c>
      <c r="M40" s="7">
        <f>IFERROR(IF(E40="Short",-1,1)*(IF(K40&lt;&gt;"",K40,L40)/J40-1),"")</f>
        <v/>
      </c>
      <c r="N40" s="6">
        <f>IFERROR(I40*(IF(K40&lt;&gt;"",K40,L40)-J40),"")</f>
        <v/>
      </c>
      <c r="O40" s="8" t="n">
        <v>0.6</v>
      </c>
      <c r="P40" s="2" t="n"/>
      <c r="Q40" s="9" t="inlineStr">
        <is>
          <t>Recent material news is positive: Avolon's 140 MAX order (Oct 9), $14.7B PAC-3 contract (Oct 8), and $20B Navy F/A-XX win. BA fell 8.6% in a month, so these are likely underappreciated. Negative debt-wall/glitch coverage is mostly commentary or resolved, supporting modest relative outperformance.</t>
        </is>
      </c>
    </row>
    <row r="41">
      <c r="A41" s="2" t="inlineStr">
        <is>
          <t>2026-10-14</t>
        </is>
      </c>
      <c r="B41" s="2" t="inlineStr">
        <is>
          <t>BRK.B</t>
        </is>
      </c>
      <c r="C41" s="2" t="inlineStr">
        <is>
          <t>BRK.B</t>
        </is>
      </c>
      <c r="D41" s="2" t="inlineStr">
        <is>
          <t>position (lifecycle)</t>
        </is>
      </c>
      <c r="E41" s="2" t="inlineStr">
        <is>
          <t>Short</t>
        </is>
      </c>
      <c r="F41" s="2" t="inlineStr">
        <is>
          <t>Closed</t>
        </is>
      </c>
      <c r="G41" s="2" t="inlineStr">
        <is>
          <t>2026-10-15</t>
        </is>
      </c>
      <c r="H41" s="2" t="inlineStr">
        <is>
          <t>2026-10-15</t>
        </is>
      </c>
      <c r="I41" s="4" t="n">
        <v>-4</v>
      </c>
      <c r="J41" s="5" t="n">
        <v>525.6799926757812</v>
      </c>
      <c r="K41" s="5" t="n">
        <v>526.15</v>
      </c>
      <c r="L41" s="5" t="n">
        <v>538.34</v>
      </c>
      <c r="M41" s="7">
        <f>IFERROR(IF(E41="Short",-1,1)*(IF(K41&lt;&gt;"",K41,L41)/J41-1),"")</f>
        <v/>
      </c>
      <c r="N41" s="6">
        <f>IFERROR(I41*(IF(K41&lt;&gt;"",K41,L41)-J41),"")</f>
        <v/>
      </c>
      <c r="O41" s="8" t="n">
        <v>0.38</v>
      </c>
      <c r="P41" s="2" t="n"/>
      <c r="Q41" s="9" t="inlineStr">
        <is>
          <t>BRK.B is being recast as a defensive safe haven: Buffett's overvaluation warnings (37% of coverage, rising) plus a record $365B cash pile and Abel's active deployment into Alphabet/Lennar frame it as a port in a storm, confirmed by a 9-day win streak. Texas AG probe into Fruit of the Loom is a minor offset. Modest outperformance.</t>
        </is>
      </c>
    </row>
    <row r="42">
      <c r="A42" s="2" t="inlineStr">
        <is>
          <t>2026-10-14</t>
        </is>
      </c>
      <c r="B42" s="2" t="inlineStr">
        <is>
          <t>CEG</t>
        </is>
      </c>
      <c r="C42" s="2" t="inlineStr">
        <is>
          <t>CEG</t>
        </is>
      </c>
      <c r="D42" s="2" t="inlineStr">
        <is>
          <t>position (lifecycle)</t>
        </is>
      </c>
      <c r="E42" s="2" t="inlineStr">
        <is>
          <t>Long</t>
        </is>
      </c>
      <c r="F42" s="2" t="inlineStr">
        <is>
          <t>Closed</t>
        </is>
      </c>
      <c r="G42" s="2" t="inlineStr">
        <is>
          <t>2026-10-15</t>
        </is>
      </c>
      <c r="H42" s="2" t="inlineStr">
        <is>
          <t>2026-10-15</t>
        </is>
      </c>
      <c r="I42" s="4" t="n">
        <v>10</v>
      </c>
      <c r="J42" s="5" t="n">
        <v>275</v>
      </c>
      <c r="K42" s="5" t="n">
        <v>276.52</v>
      </c>
      <c r="L42" s="5" t="n">
        <v>261.15</v>
      </c>
      <c r="M42" s="7">
        <f>IFERROR(IF(E42="Short",-1,1)*(IF(K42&lt;&gt;"",K42,L42)/J42-1),"")</f>
        <v/>
      </c>
      <c r="N42" s="6">
        <f>IFERROR(I42*(IF(K42&lt;&gt;"",K42,L42)-J42),"")</f>
        <v/>
      </c>
      <c r="O42" s="8" t="n"/>
      <c r="P42" s="2" t="n"/>
      <c r="Q42" s="9" t="inlineStr"/>
    </row>
    <row r="43">
      <c r="A43" s="2" t="inlineStr">
        <is>
          <t>2026-10-14</t>
        </is>
      </c>
      <c r="B43" s="2" t="inlineStr">
        <is>
          <t>GOOGL</t>
        </is>
      </c>
      <c r="C43" s="2" t="inlineStr">
        <is>
          <t>GOOGL</t>
        </is>
      </c>
      <c r="D43" s="2" t="inlineStr">
        <is>
          <t>position (lifecycle)</t>
        </is>
      </c>
      <c r="E43" s="2" t="inlineStr">
        <is>
          <t>Long</t>
        </is>
      </c>
      <c r="F43" s="2" t="inlineStr">
        <is>
          <t>Closed</t>
        </is>
      </c>
      <c r="G43" s="2" t="inlineStr">
        <is>
          <t>2026-10-15</t>
        </is>
      </c>
      <c r="H43" s="2" t="inlineStr">
        <is>
          <t>2026-10-15</t>
        </is>
      </c>
      <c r="I43" s="4" t="n">
        <v>9</v>
      </c>
      <c r="J43" s="5" t="n">
        <v>349.2200012207031</v>
      </c>
      <c r="K43" s="5" t="n">
        <v>349.461111</v>
      </c>
      <c r="L43" s="5" t="n">
        <v>341.47</v>
      </c>
      <c r="M43" s="7">
        <f>IFERROR(IF(E43="Short",-1,1)*(IF(K43&lt;&gt;"",K43,L43)/J43-1),"")</f>
        <v/>
      </c>
      <c r="N43" s="6">
        <f>IFERROR(I43*(IF(K43&lt;&gt;"",K43,L43)-J43),"")</f>
        <v/>
      </c>
      <c r="O43" s="8" t="n">
        <v>0.5</v>
      </c>
      <c r="P43" s="2" t="n"/>
      <c r="Q43" s="9" t="inlineStr">
        <is>
          <t>Firm-specific news is modest and largely priced: the Constellation 3.59GW nuclear PPA (Oct 5-8) mostly lifted CEG, while the Unity AI-gaming deal (Oct 7-8) and Gemini 4 Argon rollout (Oct 13) are incremental. Dominant coverage is recycled pre-Oct 28 bullish commentary plus sector-level AI-bubble fears. No clear next-week edge.</t>
        </is>
      </c>
    </row>
    <row r="44">
      <c r="A44" s="2" t="inlineStr">
        <is>
          <t>2026-10-14</t>
        </is>
      </c>
      <c r="B44" s="2" t="inlineStr">
        <is>
          <t>LITE</t>
        </is>
      </c>
      <c r="C44" s="2" t="inlineStr">
        <is>
          <t>LITE</t>
        </is>
      </c>
      <c r="D44" s="2" t="inlineStr">
        <is>
          <t>position (lifecycle)</t>
        </is>
      </c>
      <c r="E44" s="2" t="inlineStr">
        <is>
          <t>Long</t>
        </is>
      </c>
      <c r="F44" s="2" t="inlineStr">
        <is>
          <t>Closed</t>
        </is>
      </c>
      <c r="G44" s="2" t="inlineStr">
        <is>
          <t>2026-10-15</t>
        </is>
      </c>
      <c r="H44" s="2" t="inlineStr">
        <is>
          <t>2026-10-15</t>
        </is>
      </c>
      <c r="I44" s="4" t="n">
        <v>3</v>
      </c>
      <c r="J44" s="5" t="n">
        <v>869.5399780273438</v>
      </c>
      <c r="K44" s="5" t="n">
        <v>869.4233330000001</v>
      </c>
      <c r="L44" s="5" t="n">
        <v>822.23</v>
      </c>
      <c r="M44" s="7">
        <f>IFERROR(IF(E44="Short",-1,1)*(IF(K44&lt;&gt;"",K44,L44)/J44-1),"")</f>
        <v/>
      </c>
      <c r="N44" s="6">
        <f>IFERROR(I44*(IF(K44&lt;&gt;"",K44,L44)-J44),"")</f>
        <v/>
      </c>
      <c r="O44" s="8" t="n">
        <v>0.5</v>
      </c>
      <c r="P44" s="2" t="n"/>
      <c r="Q44" s="9" t="inlineStr">
        <is>
          <t>Oct 9 CEO Hurlston said LITE's AI opto components are sold out through early 2029 and it can't meet ~70% of demand — a strong firm-specific demand catalyst. The 19% weekly drop is sector-wide AI-funding-fear selling (hedged out), so LITE's intact order book should drive relative outperformance next week.</t>
        </is>
      </c>
    </row>
    <row r="45">
      <c r="A45" s="2" t="inlineStr">
        <is>
          <t>2026-10-14</t>
        </is>
      </c>
      <c r="B45" s="2" t="inlineStr">
        <is>
          <t>LLY</t>
        </is>
      </c>
      <c r="C45" s="2" t="inlineStr">
        <is>
          <t>LLY</t>
        </is>
      </c>
      <c r="D45" s="2" t="inlineStr">
        <is>
          <t>position (lifecycle)</t>
        </is>
      </c>
      <c r="E45" s="2" t="inlineStr">
        <is>
          <t>Long</t>
        </is>
      </c>
      <c r="F45" s="2" t="inlineStr">
        <is>
          <t>Closed</t>
        </is>
      </c>
      <c r="G45" s="2" t="inlineStr">
        <is>
          <t>2026-10-15</t>
        </is>
      </c>
      <c r="H45" s="2" t="inlineStr">
        <is>
          <t>2026-10-15</t>
        </is>
      </c>
      <c r="I45" s="4" t="n">
        <v>2</v>
      </c>
      <c r="J45" s="5" t="n">
        <v>1251.609985351562</v>
      </c>
      <c r="K45" s="5" t="n">
        <v>1253.68</v>
      </c>
      <c r="L45" s="5" t="n">
        <v>1296.15</v>
      </c>
      <c r="M45" s="7">
        <f>IFERROR(IF(E45="Short",-1,1)*(IF(K45&lt;&gt;"",K45,L45)/J45-1),"")</f>
        <v/>
      </c>
      <c r="N45" s="6">
        <f>IFERROR(I45*(IF(K45&lt;&gt;"",K45,L45)-J45),"")</f>
        <v/>
      </c>
      <c r="O45" s="8" t="n">
        <v>0.62</v>
      </c>
      <c r="P45" s="2" t="n"/>
      <c r="Q45" s="9" t="inlineStr">
        <is>
          <t>No fresh LLY-specific catalyst in the last week. The Q2 beat story and retatrutide/deal narratives are stale or fading; new coverage is ETF/market noise. Q3 earnings are not in the holding week, so no binary edge. With shares near highs, news looks priced; expect neutral relative return.</t>
        </is>
      </c>
    </row>
    <row r="46">
      <c r="A46" s="2" t="inlineStr">
        <is>
          <t>2026-10-14</t>
        </is>
      </c>
      <c r="B46" s="2" t="inlineStr">
        <is>
          <t>LULU</t>
        </is>
      </c>
      <c r="C46" s="2" t="inlineStr">
        <is>
          <t>LULU</t>
        </is>
      </c>
      <c r="D46" s="2" t="inlineStr">
        <is>
          <t>position (lifecycle)</t>
        </is>
      </c>
      <c r="E46" s="2" t="inlineStr">
        <is>
          <t>Short</t>
        </is>
      </c>
      <c r="F46" s="2" t="inlineStr">
        <is>
          <t>Closed</t>
        </is>
      </c>
      <c r="G46" s="2" t="inlineStr">
        <is>
          <t>2026-10-15</t>
        </is>
      </c>
      <c r="H46" s="2" t="inlineStr">
        <is>
          <t>2026-10-15</t>
        </is>
      </c>
      <c r="I46" s="4" t="n">
        <v>-32</v>
      </c>
      <c r="J46" s="5" t="n">
        <v>99.08999633789062</v>
      </c>
      <c r="K46" s="5" t="n">
        <v>99.13124999999999</v>
      </c>
      <c r="L46" s="5" t="n">
        <v>98.66</v>
      </c>
      <c r="M46" s="7">
        <f>IFERROR(IF(E46="Short",-1,1)*(IF(K46&lt;&gt;"",K46,L46)/J46-1),"")</f>
        <v/>
      </c>
      <c r="N46" s="6">
        <f>IFERROR(I46*(IF(K46&lt;&gt;"",K46,L46)-J46),"")</f>
        <v/>
      </c>
      <c r="O46" s="8" t="n"/>
      <c r="P46" s="2" t="n"/>
      <c r="Q46" s="9" t="inlineStr"/>
    </row>
    <row r="47">
      <c r="A47" s="2" t="inlineStr">
        <is>
          <t>2026-10-14</t>
        </is>
      </c>
      <c r="B47" s="2" t="inlineStr">
        <is>
          <t>MCD</t>
        </is>
      </c>
      <c r="C47" s="2" t="inlineStr">
        <is>
          <t>MCD</t>
        </is>
      </c>
      <c r="D47" s="2" t="inlineStr">
        <is>
          <t>position (lifecycle)</t>
        </is>
      </c>
      <c r="E47" s="2" t="inlineStr">
        <is>
          <t>Short</t>
        </is>
      </c>
      <c r="F47" s="2" t="inlineStr">
        <is>
          <t>Closed</t>
        </is>
      </c>
      <c r="G47" s="2" t="inlineStr">
        <is>
          <t>2026-10-15</t>
        </is>
      </c>
      <c r="H47" s="2" t="inlineStr">
        <is>
          <t>2026-10-15</t>
        </is>
      </c>
      <c r="I47" s="4" t="n">
        <v>-13</v>
      </c>
      <c r="J47" s="5" t="n">
        <v>242.5</v>
      </c>
      <c r="K47" s="5" t="n">
        <v>242.642308</v>
      </c>
      <c r="L47" s="5" t="n">
        <v>246.21</v>
      </c>
      <c r="M47" s="7">
        <f>IFERROR(IF(E47="Short",-1,1)*(IF(K47&lt;&gt;"",K47,L47)/J47-1),"")</f>
        <v/>
      </c>
      <c r="N47" s="6">
        <f>IFERROR(I47*(IF(K47&lt;&gt;"",K47,L47)-J47),"")</f>
        <v/>
      </c>
      <c r="O47" s="8" t="n"/>
      <c r="P47" s="2" t="n"/>
      <c r="Q47" s="9" t="inlineStr"/>
    </row>
    <row r="48">
      <c r="A48" s="2" t="inlineStr">
        <is>
          <t>2026-10-14</t>
        </is>
      </c>
      <c r="B48" s="2" t="inlineStr">
        <is>
          <t>META</t>
        </is>
      </c>
      <c r="C48" s="2" t="inlineStr">
        <is>
          <t>META</t>
        </is>
      </c>
      <c r="D48" s="2" t="inlineStr">
        <is>
          <t>position (lifecycle)</t>
        </is>
      </c>
      <c r="E48" s="2" t="inlineStr">
        <is>
          <t>Short</t>
        </is>
      </c>
      <c r="F48" s="2" t="inlineStr">
        <is>
          <t>Closed</t>
        </is>
      </c>
      <c r="G48" s="2" t="inlineStr">
        <is>
          <t>2026-10-15</t>
        </is>
      </c>
      <c r="H48" s="2" t="inlineStr">
        <is>
          <t>2026-10-15</t>
        </is>
      </c>
      <c r="I48" s="4" t="n">
        <v>-4</v>
      </c>
      <c r="J48" s="5" t="n">
        <v>736.719970703125</v>
      </c>
      <c r="K48" s="5" t="n">
        <v>736.4924999999999</v>
      </c>
      <c r="L48" s="5" t="n">
        <v>690.13</v>
      </c>
      <c r="M48" s="7">
        <f>IFERROR(IF(E48="Short",-1,1)*(IF(K48&lt;&gt;"",K48,L48)/J48-1),"")</f>
        <v/>
      </c>
      <c r="N48" s="6">
        <f>IFERROR(I48*(IF(K48&lt;&gt;"",K48,L48)-J48),"")</f>
        <v/>
      </c>
      <c r="O48" s="8" t="n">
        <v>0.5</v>
      </c>
      <c r="P48" s="2" t="n"/>
      <c r="Q48" s="9" t="inlineStr">
        <is>
          <t>Muse Wonder frontier-model launch (Oct 12-13) plus Muse traction (2M DAU, 73% retention) and street-high $1,000 PTs sustain a positive AI narrative. But +9.6% 1m already prices much of it, and Q3 earnings Oct 21 amc is a binary with prior capex/FCF worries, capping conviction.</t>
        </is>
      </c>
    </row>
    <row r="49">
      <c r="A49" s="2" t="inlineStr">
        <is>
          <t>2026-10-14</t>
        </is>
      </c>
      <c r="B49" s="2" t="inlineStr">
        <is>
          <t>PEP</t>
        </is>
      </c>
      <c r="C49" s="2" t="inlineStr">
        <is>
          <t>PEP</t>
        </is>
      </c>
      <c r="D49" s="2" t="inlineStr">
        <is>
          <t>position (lifecycle)</t>
        </is>
      </c>
      <c r="E49" s="2" t="inlineStr">
        <is>
          <t>Short</t>
        </is>
      </c>
      <c r="F49" s="2" t="inlineStr">
        <is>
          <t>Closed</t>
        </is>
      </c>
      <c r="G49" s="2" t="inlineStr">
        <is>
          <t>2026-10-15</t>
        </is>
      </c>
      <c r="H49" s="2" t="inlineStr">
        <is>
          <t>2026-10-15</t>
        </is>
      </c>
      <c r="I49" s="4" t="n">
        <v>-8</v>
      </c>
      <c r="J49" s="5" t="n">
        <v>128.3800048828125</v>
      </c>
      <c r="K49" s="5" t="n">
        <v>128.4175</v>
      </c>
      <c r="L49" s="5" t="n">
        <v>133.81</v>
      </c>
      <c r="M49" s="7">
        <f>IFERROR(IF(E49="Short",-1,1)*(IF(K49&lt;&gt;"",K49,L49)/J49-1),"")</f>
        <v/>
      </c>
      <c r="N49" s="6">
        <f>IFERROR(I49*(IF(K49&lt;&gt;"",K49,L49)-J49),"")</f>
        <v/>
      </c>
      <c r="O49" s="8" t="n"/>
      <c r="P49" s="2" t="n"/>
      <c r="Q49" s="9" t="inlineStr"/>
    </row>
    <row r="50">
      <c r="A50" s="2" t="inlineStr">
        <is>
          <t>2026-10-14</t>
        </is>
      </c>
      <c r="B50" s="2" t="inlineStr">
        <is>
          <t>SNDK</t>
        </is>
      </c>
      <c r="C50" s="2" t="inlineStr">
        <is>
          <t>SNDK</t>
        </is>
      </c>
      <c r="D50" s="2" t="inlineStr">
        <is>
          <t>position (lifecycle)</t>
        </is>
      </c>
      <c r="E50" s="2" t="inlineStr">
        <is>
          <t>Short</t>
        </is>
      </c>
      <c r="F50" s="2" t="inlineStr">
        <is>
          <t>Closed</t>
        </is>
      </c>
      <c r="G50" s="2" t="inlineStr">
        <is>
          <t>2026-10-15</t>
        </is>
      </c>
      <c r="H50" s="2" t="inlineStr">
        <is>
          <t>2026-10-15</t>
        </is>
      </c>
      <c r="I50" s="4" t="n">
        <v>-2</v>
      </c>
      <c r="J50" s="5" t="n">
        <v>1394.829956054688</v>
      </c>
      <c r="K50" s="5" t="n">
        <v>1395.31</v>
      </c>
      <c r="L50" s="5" t="n">
        <v>1380.36</v>
      </c>
      <c r="M50" s="7">
        <f>IFERROR(IF(E50="Short",-1,1)*(IF(K50&lt;&gt;"",K50,L50)/J50-1),"")</f>
        <v/>
      </c>
      <c r="N50" s="6">
        <f>IFERROR(I50*(IF(K50&lt;&gt;"",K50,L50)-J50),"")</f>
        <v/>
      </c>
      <c r="O50" s="8" t="n">
        <v>0.5</v>
      </c>
      <c r="P50" s="2" t="n"/>
      <c r="Q50" s="9" t="inlineStr">
        <is>
          <t>CXMT's Oct 12 DRAM design breakthrough triggered a global memory rout; SNDK fell 17% and the selloff story is still rising (35% share vs 12% avg). Competitive/pricing fears keep pressure on the memory complex into next week, though NAND is less directly exposed than DRAM peers.</t>
        </is>
      </c>
    </row>
    <row r="51">
      <c r="A51" s="2" t="inlineStr">
        <is>
          <t>2026-10-14</t>
        </is>
      </c>
      <c r="B51" s="2" t="inlineStr">
        <is>
          <t>SPY</t>
        </is>
      </c>
      <c r="C51" s="2" t="inlineStr">
        <is>
          <t>SPDR S&amp;P 500 ETF</t>
        </is>
      </c>
      <c r="D51" s="2" t="inlineStr">
        <is>
          <t>beta hedge</t>
        </is>
      </c>
      <c r="E51" s="2" t="inlineStr">
        <is>
          <t>Short</t>
        </is>
      </c>
      <c r="F51" s="2" t="inlineStr">
        <is>
          <t>Closed</t>
        </is>
      </c>
      <c r="G51" s="2" t="inlineStr">
        <is>
          <t>2026-10-15</t>
        </is>
      </c>
      <c r="H51" s="2" t="inlineStr">
        <is>
          <t>2026-10-15</t>
        </is>
      </c>
      <c r="I51" s="4" t="n">
        <v>-15</v>
      </c>
      <c r="J51" s="5" t="n">
        <v>771.7899780273438</v>
      </c>
      <c r="K51" s="5" t="n">
        <v>771.98</v>
      </c>
      <c r="L51" s="5" t="n">
        <v>769.3200000000001</v>
      </c>
      <c r="M51" s="7">
        <f>IFERROR(IF(E51="Short",-1,1)*(IF(K51&lt;&gt;"",K51,L51)/J51-1),"")</f>
        <v/>
      </c>
      <c r="N51" s="6">
        <f>IFERROR(I51*(IF(K51&lt;&gt;"",K51,L51)-J51),"")</f>
        <v/>
      </c>
      <c r="O51" s="8" t="n"/>
      <c r="P51" s="2" t="n"/>
      <c r="Q51" s="9" t="inlineStr">
        <is>
          <t>SPY hedge to zero beta</t>
        </is>
      </c>
    </row>
    <row r="52">
      <c r="A52" s="2" t="inlineStr">
        <is>
          <t>2026-10-14</t>
        </is>
      </c>
      <c r="B52" s="2" t="inlineStr">
        <is>
          <t>STX</t>
        </is>
      </c>
      <c r="C52" s="2" t="inlineStr">
        <is>
          <t>STX</t>
        </is>
      </c>
      <c r="D52" s="2" t="inlineStr">
        <is>
          <t>position (lifecycle)</t>
        </is>
      </c>
      <c r="E52" s="2" t="inlineStr">
        <is>
          <t>Short</t>
        </is>
      </c>
      <c r="F52" s="2" t="inlineStr">
        <is>
          <t>Closed</t>
        </is>
      </c>
      <c r="G52" s="2" t="inlineStr">
        <is>
          <t>2026-10-15</t>
        </is>
      </c>
      <c r="H52" s="2" t="inlineStr">
        <is>
          <t>2026-10-15</t>
        </is>
      </c>
      <c r="I52" s="4" t="n">
        <v>-3</v>
      </c>
      <c r="J52" s="5" t="n">
        <v>690.8099975585938</v>
      </c>
      <c r="K52" s="5" t="n">
        <v>691.4699999999999</v>
      </c>
      <c r="L52" s="5" t="n">
        <v>674.4</v>
      </c>
      <c r="M52" s="7">
        <f>IFERROR(IF(E52="Short",-1,1)*(IF(K52&lt;&gt;"",K52,L52)/J52-1),"")</f>
        <v/>
      </c>
      <c r="N52" s="6">
        <f>IFERROR(I52*(IF(K52&lt;&gt;"",K52,L52)-J52),"")</f>
        <v/>
      </c>
      <c r="O52" s="8" t="n">
        <v>0.5</v>
      </c>
      <c r="P52" s="2" t="n"/>
      <c r="Q52" s="9" t="inlineStr">
        <is>
          <t>The dominant new story (Oct 12-13 CXMT memory rout) is a DRAM event; Seagate makes HDDs, not memory, so its ~12% sympathy drop looks overdone. The Toshiba HDD supply threat (Oct 2) is fading in coverage and Q4 fundamentals remain strong. Expect relative recovery vs. memory names; no earnings risk this week.</t>
        </is>
      </c>
    </row>
    <row r="53">
      <c r="A53" s="2" t="inlineStr">
        <is>
          <t>2026-10-14</t>
        </is>
      </c>
      <c r="B53" s="2" t="inlineStr">
        <is>
          <t>WDC</t>
        </is>
      </c>
      <c r="C53" s="2" t="inlineStr">
        <is>
          <t>WDC</t>
        </is>
      </c>
      <c r="D53" s="2" t="inlineStr">
        <is>
          <t>position (lifecycle)</t>
        </is>
      </c>
      <c r="E53" s="2" t="inlineStr">
        <is>
          <t>Short</t>
        </is>
      </c>
      <c r="F53" s="2" t="inlineStr">
        <is>
          <t>Closed</t>
        </is>
      </c>
      <c r="G53" s="2" t="inlineStr">
        <is>
          <t>2026-10-15</t>
        </is>
      </c>
      <c r="H53" s="2" t="inlineStr">
        <is>
          <t>2026-10-15</t>
        </is>
      </c>
      <c r="I53" s="4" t="n">
        <v>-8</v>
      </c>
      <c r="J53" s="5" t="n">
        <v>356.4500122070312</v>
      </c>
      <c r="K53" s="5" t="n">
        <v>356.53</v>
      </c>
      <c r="L53" s="5" t="n">
        <v>359.585</v>
      </c>
      <c r="M53" s="7">
        <f>IFERROR(IF(E53="Short",-1,1)*(IF(K53&lt;&gt;"",K53,L53)/J53-1),"")</f>
        <v/>
      </c>
      <c r="N53" s="6">
        <f>IFERROR(I53*(IF(K53&lt;&gt;"",K53,L53)-J53),"")</f>
        <v/>
      </c>
      <c r="O53" s="8" t="n"/>
      <c r="P53" s="2" t="n"/>
      <c r="Q53" s="9" t="inlineStr"/>
    </row>
    <row r="54">
      <c r="A54" s="2" t="inlineStr">
        <is>
          <t>2026-10-07</t>
        </is>
      </c>
      <c r="B54" s="2" t="inlineStr">
        <is>
          <t>AMD</t>
        </is>
      </c>
      <c r="C54" s="2" t="inlineStr">
        <is>
          <t>AMD</t>
        </is>
      </c>
      <c r="D54" s="2" t="inlineStr">
        <is>
          <t>position (lifecycle)</t>
        </is>
      </c>
      <c r="E54" s="2" t="inlineStr">
        <is>
          <t>Long</t>
        </is>
      </c>
      <c r="F54" s="2" t="inlineStr">
        <is>
          <t>Open</t>
        </is>
      </c>
      <c r="G54" s="2" t="inlineStr">
        <is>
          <t>2026-10-15</t>
        </is>
      </c>
      <c r="H54" s="2" t="inlineStr"/>
      <c r="I54" s="4" t="n">
        <v>6</v>
      </c>
      <c r="J54" s="5" t="n">
        <v>562.43666015625</v>
      </c>
      <c r="K54" s="5" t="n"/>
      <c r="L54" s="5" t="n">
        <v>542.86</v>
      </c>
      <c r="M54" s="7">
        <f>IFERROR(IF(E54="Short",-1,1)*(IF(K54&lt;&gt;"",K54,L54)/J54-1),"")</f>
        <v/>
      </c>
      <c r="N54" s="6">
        <f>IFERROR(I54*(IF(K54&lt;&gt;"",K54,L54)-J54),"")</f>
        <v/>
      </c>
      <c r="O54" s="8" t="n">
        <v>0.55</v>
      </c>
      <c r="P54" s="2" t="n"/>
      <c r="Q54" s="9" t="inlineStr">
        <is>
          <t>AMD's AI Chip Expansion story is rising (17%→25% share) on dated catalysts: Lisa Su's Oct 6-7 pledge of a 'substantial' 2027 supply ramp plus &gt;$10B supply-chain spend, the HPE/Vultr $1.2B Helios order validating MI450 racks, and Citi's Oct 6 $800 target. Demand outrunning supply is fresh, actionable news; AI-chip-selloff story is fading. | horizon 14 days; exit if: AMD terminates or withdraws credit support agreement for Fermi's Project Matador; Fermi's Project Matador lease or financing is cancelled or fails to close; AMD delays or cancels launch of Helion/Helios AI rack platform</t>
        </is>
      </c>
    </row>
    <row r="55">
      <c r="A55" s="2" t="inlineStr">
        <is>
          <t>2026-10-07</t>
        </is>
      </c>
      <c r="B55" s="2" t="inlineStr">
        <is>
          <t>HPE</t>
        </is>
      </c>
      <c r="C55" s="2" t="inlineStr">
        <is>
          <t>HPE</t>
        </is>
      </c>
      <c r="D55" s="2" t="inlineStr">
        <is>
          <t>position (lifecycle)</t>
        </is>
      </c>
      <c r="E55" s="2" t="inlineStr">
        <is>
          <t>Long</t>
        </is>
      </c>
      <c r="F55" s="2" t="inlineStr">
        <is>
          <t>Open</t>
        </is>
      </c>
      <c r="G55" s="2" t="inlineStr">
        <is>
          <t>2026-10-15</t>
        </is>
      </c>
      <c r="H55" s="2" t="inlineStr"/>
      <c r="I55" s="4" t="n">
        <v>36</v>
      </c>
      <c r="J55" s="5" t="n">
        <v>58.63000106811523</v>
      </c>
      <c r="K55" s="5" t="n"/>
      <c r="L55" s="5" t="n">
        <v>56.345</v>
      </c>
      <c r="M55" s="7">
        <f>IFERROR(IF(E55="Short",-1,1)*(IF(K55&lt;&gt;"",K55,L55)/J55-1),"")</f>
        <v/>
      </c>
      <c r="N55" s="6">
        <f>IFERROR(I55*(IF(K55&lt;&gt;"",K55,L55)-J55),"")</f>
        <v/>
      </c>
      <c r="O55" s="8" t="n">
        <v>0.6</v>
      </c>
      <c r="P55" s="2" t="n"/>
      <c r="Q55" s="9" t="inlineStr">
        <is>
          <t>HPE's Sep 30 $1.2B Vultr AMD order and raised FY27 networking guidance are material positives, reinforced by Oct 1 analyst PT hikes and Oct 7 Mizuho/AMD server news. But the stock is already at a 52-week high after a +12.8% week, so much is priced; expect modest relative outperformance, not another surge. | horizon 11 days; exit if: HPE cuts FY27 networking guidance; Vultr cancels or delays the $1.2B Helios AI server order; HPE loses a major AI server order to a competitor</t>
        </is>
      </c>
    </row>
    <row r="56">
      <c r="A56" s="2" t="inlineStr">
        <is>
          <t>2026-10-07</t>
        </is>
      </c>
      <c r="B56" s="2" t="inlineStr">
        <is>
          <t>MRVL</t>
        </is>
      </c>
      <c r="C56" s="2" t="inlineStr">
        <is>
          <t>MRVL</t>
        </is>
      </c>
      <c r="D56" s="2" t="inlineStr">
        <is>
          <t>position (lifecycle)</t>
        </is>
      </c>
      <c r="E56" s="2" t="inlineStr">
        <is>
          <t>Long</t>
        </is>
      </c>
      <c r="F56" s="2" t="inlineStr">
        <is>
          <t>Open</t>
        </is>
      </c>
      <c r="G56" s="2" t="inlineStr">
        <is>
          <t>2026-10-15</t>
        </is>
      </c>
      <c r="H56" s="2" t="inlineStr"/>
      <c r="I56" s="4" t="n">
        <v>21</v>
      </c>
      <c r="J56" s="5" t="n">
        <v>241.2400054931641</v>
      </c>
      <c r="K56" s="5" t="n"/>
      <c r="L56" s="5" t="n">
        <v>241.5</v>
      </c>
      <c r="M56" s="7">
        <f>IFERROR(IF(E56="Short",-1,1)*(IF(K56&lt;&gt;"",K56,L56)/J56-1),"")</f>
        <v/>
      </c>
      <c r="N56" s="6">
        <f>IFERROR(I56*(IF(K56&lt;&gt;"",K56,L56)-J56),"")</f>
        <v/>
      </c>
      <c r="O56" s="8" t="n">
        <v>0.68</v>
      </c>
      <c r="P56" s="2" t="n"/>
      <c r="Q56" s="9" t="inlineStr">
        <is>
          <t>Oct 6 investor day raised FY28 revenue to $20B above consensus and set a $70-90B FY31 target, triggering a 7% jump and multiple PT hikes (Piper/BofA to $400). The new AI expansion story is now 61% of coverage. Positive news diffusion likely continues next week, though valuation debate caps upside. | horizon 13 days; exit if: Marvell cuts or withdraws its FY28 $20B or FY31 $70-90B revenue targets; A major analyst downgrades MRVL citing AI data-center demand slowdown; Marvell loses a key custom AI chip customer or cuts data-center revenue guidance</t>
        </is>
      </c>
    </row>
    <row r="57">
      <c r="A57" s="2" t="inlineStr">
        <is>
          <t>2026-10-07</t>
        </is>
      </c>
      <c r="B57" s="2" t="inlineStr">
        <is>
          <t>NKE</t>
        </is>
      </c>
      <c r="C57" s="2" t="inlineStr">
        <is>
          <t>NKE</t>
        </is>
      </c>
      <c r="D57" s="2" t="inlineStr">
        <is>
          <t>position (lifecycle)</t>
        </is>
      </c>
      <c r="E57" s="2" t="inlineStr">
        <is>
          <t>Short</t>
        </is>
      </c>
      <c r="F57" s="2" t="inlineStr">
        <is>
          <t>Open</t>
        </is>
      </c>
      <c r="G57" s="2" t="inlineStr">
        <is>
          <t>2026-10-15</t>
        </is>
      </c>
      <c r="H57" s="2" t="inlineStr"/>
      <c r="I57" s="4" t="n">
        <v>-187</v>
      </c>
      <c r="J57" s="5" t="n">
        <v>37.13999938964844</v>
      </c>
      <c r="K57" s="5" t="n"/>
      <c r="L57" s="5" t="n">
        <v>37.78</v>
      </c>
      <c r="M57" s="7">
        <f>IFERROR(IF(E57="Short",-1,1)*(IF(K57&lt;&gt;"",K57,L57)/J57-1),"")</f>
        <v/>
      </c>
      <c r="N57" s="6">
        <f>IFERROR(I57*(IF(K57&lt;&gt;"",K57,L57)-J57),"")</f>
        <v/>
      </c>
      <c r="O57" s="8" t="n">
        <v>0.65</v>
      </c>
      <c r="P57" s="2" t="n"/>
      <c r="Q57" s="9" t="inlineStr">
        <is>
          <t>Nike's Q1 revenue miss and weak FY27 guidance (Oct 1) triggered analyst downgrades and PT cuts, with China reset and turnaround doubts persisting. Despite a 12-year low, negative news flow and rising 'stock collapse' coverage suggest NKE underperforms peers next week. | horizon 13 days; exit if: Nike raises FY27 revenue guidance or reports Q2 revenue beat.; Nike China sales return to growth and management signals turnaround.; Analyst upgrades Nike to Buy citing improving fundamentals.</t>
        </is>
      </c>
    </row>
    <row r="58">
      <c r="A58" s="2" t="inlineStr">
        <is>
          <t>2026-10-14</t>
        </is>
      </c>
      <c r="B58" s="2" t="inlineStr">
        <is>
          <t>NVDA</t>
        </is>
      </c>
      <c r="C58" s="2" t="inlineStr">
        <is>
          <t>NVDA</t>
        </is>
      </c>
      <c r="D58" s="2" t="inlineStr">
        <is>
          <t>position (lifecycle)</t>
        </is>
      </c>
      <c r="E58" s="2" t="inlineStr">
        <is>
          <t>Long</t>
        </is>
      </c>
      <c r="F58" s="2" t="inlineStr">
        <is>
          <t>Open</t>
        </is>
      </c>
      <c r="G58" s="2" t="inlineStr">
        <is>
          <t>2026-10-15</t>
        </is>
      </c>
      <c r="H58" s="2" t="inlineStr"/>
      <c r="I58" s="4" t="n">
        <v>11</v>
      </c>
      <c r="J58" s="5" t="n">
        <v>217.2663609175249</v>
      </c>
      <c r="K58" s="5" t="n"/>
      <c r="L58" s="5" t="n">
        <v>217.05</v>
      </c>
      <c r="M58" s="7">
        <f>IFERROR(IF(E58="Short",-1,1)*(IF(K58&lt;&gt;"",K58,L58)/J58-1),"")</f>
        <v/>
      </c>
      <c r="N58" s="6">
        <f>IFERROR(I58*(IF(K58&lt;&gt;"",K58,L58)-J58),"")</f>
        <v/>
      </c>
      <c r="O58" s="8" t="n">
        <v>0.5</v>
      </c>
      <c r="P58" s="2" t="n"/>
      <c r="Q58" s="9" t="inlineStr">
        <is>
          <t>The Oct 8 OpenAI revenue scare that sank NVDA was corrected and dismissed as overblown on Oct 9, leaving the 6.8% weekly drop overdone. SpaceX's $40B order to buy Nvidia chips (Oct 6-8) confirms AI demand, and TSMC's Oct 15 report is a positive early read. China memory jitters are the main offset. | horizon 4 days; exit if: TSMC cuts full-year guidance or flags weakening AI/HPC chip demand; OpenAI confirms a revenue shortfall or cuts AI infrastructure spending; Nvidia discloses a major AI order cancellation or SpaceX deal collapse</t>
        </is>
      </c>
    </row>
    <row r="59">
      <c r="A59" s="2" t="inlineStr">
        <is>
          <t>2026-10-14</t>
        </is>
      </c>
      <c r="B59" s="2" t="inlineStr">
        <is>
          <t>BAC</t>
        </is>
      </c>
      <c r="C59" s="2" t="inlineStr">
        <is>
          <t>BAC</t>
        </is>
      </c>
      <c r="D59" s="2" t="inlineStr">
        <is>
          <t>position (lifecycle)</t>
        </is>
      </c>
      <c r="E59" s="2" t="inlineStr">
        <is>
          <t>Short</t>
        </is>
      </c>
      <c r="F59" s="2" t="inlineStr">
        <is>
          <t>Open</t>
        </is>
      </c>
      <c r="G59" s="2" t="inlineStr">
        <is>
          <t>2026-10-15</t>
        </is>
      </c>
      <c r="H59" s="2" t="inlineStr"/>
      <c r="I59" s="4" t="n">
        <v>-68</v>
      </c>
      <c r="J59" s="5" t="n">
        <v>51.19367658823529</v>
      </c>
      <c r="K59" s="5" t="n"/>
      <c r="L59" s="5" t="n">
        <v>51.05</v>
      </c>
      <c r="M59" s="7">
        <f>IFERROR(IF(E59="Short",-1,1)*(IF(K59&lt;&gt;"",K59,L59)/J59-1),"")</f>
        <v/>
      </c>
      <c r="N59" s="6">
        <f>IFERROR(I59*(IF(K59&lt;&gt;"",K59,L59)-J59),"")</f>
        <v/>
      </c>
      <c r="O59" s="8" t="n">
        <v>0.58</v>
      </c>
      <c r="P59" s="2" t="n"/>
      <c r="Q59" s="9" t="inlineStr">
        <is>
          <t>Fresh negatives: Oct 13 $1.2B Treasury AML fine (third-largest ever) plus Oct 14 Q3 earnings miss on trading/IB weakness, alongside hot 3.7% CPI reviving rate-hike fears that pressure bank bond books. The AML story is new and surging (47% share), but BAC's -11% month means much is priced, capping conviction. | horizon 6 days; exit if: Bank of America's $1.2B AML penalty is reduced, overturned, or settled for materially less; Bank of America raises full-year guidance or reports a revenue/trading beat next quarter; Inflation cools and the Fed rules out further rate hikes, easing bank bond-book pressure</t>
        </is>
      </c>
    </row>
    <row r="60">
      <c r="A60" s="2" t="inlineStr">
        <is>
          <t>2026-10-14</t>
        </is>
      </c>
      <c r="B60" s="2" t="inlineStr">
        <is>
          <t>CRM</t>
        </is>
      </c>
      <c r="C60" s="2" t="inlineStr">
        <is>
          <t>CRM</t>
        </is>
      </c>
      <c r="D60" s="2" t="inlineStr">
        <is>
          <t>position (lifecycle)</t>
        </is>
      </c>
      <c r="E60" s="2" t="inlineStr">
        <is>
          <t>Long</t>
        </is>
      </c>
      <c r="F60" s="2" t="inlineStr">
        <is>
          <t>Open</t>
        </is>
      </c>
      <c r="G60" s="2" t="inlineStr">
        <is>
          <t>2026-10-15</t>
        </is>
      </c>
      <c r="H60" s="2" t="inlineStr"/>
      <c r="I60" s="4" t="n">
        <v>12</v>
      </c>
      <c r="J60" s="5" t="n">
        <v>246.679167</v>
      </c>
      <c r="K60" s="5" t="n"/>
      <c r="L60" s="5" t="n">
        <v>239.47</v>
      </c>
      <c r="M60" s="7">
        <f>IFERROR(IF(E60="Short",-1,1)*(IF(K60&lt;&gt;"",K60,L60)/J60-1),"")</f>
        <v/>
      </c>
      <c r="N60" s="6">
        <f>IFERROR(I60*(IF(K60&lt;&gt;"",K60,L60)-J60),"")</f>
        <v/>
      </c>
      <c r="O60" s="8" t="n">
        <v>0.6</v>
      </c>
      <c r="P60" s="2" t="n"/>
      <c r="Q60" s="9" t="inlineStr">
        <is>
          <t>BofA's rare double upgrade to Buy (Oct 12, PT $285 from $160) plus the Loops AI acquisition flipped the CRM narrative from value trap to AI rebound; the 'Stock Debate' story jumped to 38% share from 9%. With no earnings next week and the +5% pop partly priced, expect modest relative outperformance as analyst follow-through builds. | horizon 7 days; exit if: BofA downgrades Salesforce or cuts its price target below $285; Salesforce terminates or writes down the Loops acquisition; Analysts reverse the upgrade, citing renewed AI disintermediation risk</t>
        </is>
      </c>
    </row>
    <row r="61">
      <c r="A61" s="2" t="inlineStr">
        <is>
          <t>2026-10-14</t>
        </is>
      </c>
      <c r="B61" s="2" t="inlineStr">
        <is>
          <t>DAL</t>
        </is>
      </c>
      <c r="C61" s="2" t="inlineStr">
        <is>
          <t>DAL</t>
        </is>
      </c>
      <c r="D61" s="2" t="inlineStr">
        <is>
          <t>position (lifecycle)</t>
        </is>
      </c>
      <c r="E61" s="2" t="inlineStr">
        <is>
          <t>Short</t>
        </is>
      </c>
      <c r="F61" s="2" t="inlineStr">
        <is>
          <t>Open</t>
        </is>
      </c>
      <c r="G61" s="2" t="inlineStr">
        <is>
          <t>2026-10-15</t>
        </is>
      </c>
      <c r="H61" s="2" t="inlineStr"/>
      <c r="I61" s="4" t="n">
        <v>-95</v>
      </c>
      <c r="J61" s="5" t="n">
        <v>76.79842105263158</v>
      </c>
      <c r="K61" s="5" t="n"/>
      <c r="L61" s="5" t="n">
        <v>76.70999999999999</v>
      </c>
      <c r="M61" s="7">
        <f>IFERROR(IF(E61="Short",-1,1)*(IF(K61&lt;&gt;"",K61,L61)/J61-1),"")</f>
        <v/>
      </c>
      <c r="N61" s="6">
        <f>IFERROR(I61*(IF(K61&lt;&gt;"",K61,L61)-J61),"")</f>
        <v/>
      </c>
      <c r="O61" s="8" t="n">
        <v>0.6</v>
      </c>
      <c r="P61" s="2" t="n"/>
      <c r="Q61" s="9" t="inlineStr">
        <is>
          <t>Delta's Oct 9 Q3 miss and 2026 guidance cut to $5.10-5.60 (from $6.50-7.50) on a 62% fuel-cost surge is a material negative not fully priced; analyst estimate cuts plus sector-wide fuel/sticker-shock pressure (Oct 14) and the Riyadh route delay keep DAL underperforming next week. | horizon 11 days; exit if: Delta raises its 2026 earnings guidance or reinstates prior forecast; Jet fuel prices decline sharply, reducing airline cost pressure; Delta successfully launches its Atlanta-Riyadh route without further delay</t>
        </is>
      </c>
    </row>
    <row r="62">
      <c r="A62" s="2" t="inlineStr">
        <is>
          <t>2026-10-14</t>
        </is>
      </c>
      <c r="B62" s="2" t="inlineStr">
        <is>
          <t>JPM</t>
        </is>
      </c>
      <c r="C62" s="2" t="inlineStr">
        <is>
          <t>JPM</t>
        </is>
      </c>
      <c r="D62" s="2" t="inlineStr">
        <is>
          <t>position (lifecycle)</t>
        </is>
      </c>
      <c r="E62" s="2" t="inlineStr">
        <is>
          <t>Short</t>
        </is>
      </c>
      <c r="F62" s="2" t="inlineStr">
        <is>
          <t>Open</t>
        </is>
      </c>
      <c r="G62" s="2" t="inlineStr">
        <is>
          <t>2026-10-15</t>
        </is>
      </c>
      <c r="H62" s="2" t="inlineStr"/>
      <c r="I62" s="4" t="n">
        <v>-7</v>
      </c>
      <c r="J62" s="5" t="n">
        <v>335.42</v>
      </c>
      <c r="K62" s="5" t="n"/>
      <c r="L62" s="5" t="n">
        <v>336.35</v>
      </c>
      <c r="M62" s="7">
        <f>IFERROR(IF(E62="Short",-1,1)*(IF(K62&lt;&gt;"",K62,L62)/J62-1),"")</f>
        <v/>
      </c>
      <c r="N62" s="6">
        <f>IFERROR(I62*(IF(K62&lt;&gt;"",K62,L62)-J62),"")</f>
        <v/>
      </c>
      <c r="O62" s="8" t="n">
        <v>0.6</v>
      </c>
      <c r="P62" s="2" t="n"/>
      <c r="Q62" s="9" t="inlineStr">
        <is>
          <t>JPM's Oct 13 Q3 print missed revenue and EPS, with shares dipping and a rich valuation; Dimon's fresh credit-cycle and AI warnings add caution. Although NII outlook rose and analysts lifted targets, those are known. Expect modest relative underperformance next week as the mixed miss is digested. | horizon 13 days; exit if: JPMorgan reports Q4 revenue and EPS beat estimates; JPMorgan raises full-year guidance or announces large buyback/dividend increase; Analysts upgrade JPMorgan to Buy with materially higher price targets</t>
        </is>
      </c>
    </row>
    <row r="63">
      <c r="A63" s="2" t="inlineStr">
        <is>
          <t>2026-10-14</t>
        </is>
      </c>
      <c r="B63" s="2" t="inlineStr">
        <is>
          <t>KHC</t>
        </is>
      </c>
      <c r="C63" s="2" t="inlineStr">
        <is>
          <t>KHC</t>
        </is>
      </c>
      <c r="D63" s="2" t="inlineStr">
        <is>
          <t>position (lifecycle)</t>
        </is>
      </c>
      <c r="E63" s="2" t="inlineStr">
        <is>
          <t>Short</t>
        </is>
      </c>
      <c r="F63" s="2" t="inlineStr">
        <is>
          <t>Open</t>
        </is>
      </c>
      <c r="G63" s="2" t="inlineStr">
        <is>
          <t>2026-10-15</t>
        </is>
      </c>
      <c r="H63" s="2" t="inlineStr"/>
      <c r="I63" s="4" t="n">
        <v>-101</v>
      </c>
      <c r="J63" s="5" t="n">
        <v>23.24</v>
      </c>
      <c r="K63" s="5" t="n"/>
      <c r="L63" s="5" t="n">
        <v>23.68</v>
      </c>
      <c r="M63" s="7">
        <f>IFERROR(IF(E63="Short",-1,1)*(IF(K63&lt;&gt;"",K63,L63)/J63-1),"")</f>
        <v/>
      </c>
      <c r="N63" s="6">
        <f>IFERROR(I63*(IF(K63&lt;&gt;"",K63,L63)-J63),"")</f>
        <v/>
      </c>
      <c r="O63" s="8" t="n">
        <v>0.6</v>
      </c>
      <c r="P63" s="2" t="n"/>
      <c r="Q63" s="9" t="inlineStr">
        <is>
          <t>News flow is negative: Jefferies cut its PT on Oct 14 citing worsening US retail demand as $700M turnaround spending ramps, the legal chief resigned (Oct 10), and the rising 'dividend cut risk' story (45% of coverage) gains force after Campbell's 36% cut. No earnings in-week, and the stock's 1-month -8% means some is priced, capping conviction. | horizon 9 days; exit if: Kraft Heinz reports US retail sales growth exceeding expectations; Kraft Heinz announces dividend increase or special dividend; Kraft Heinz appoints new permanent General Counsel</t>
        </is>
      </c>
    </row>
    <row r="64">
      <c r="A64" s="2" t="inlineStr">
        <is>
          <t>2026-10-14</t>
        </is>
      </c>
      <c r="B64" s="2" t="inlineStr">
        <is>
          <t>MSFT</t>
        </is>
      </c>
      <c r="C64" s="2" t="inlineStr">
        <is>
          <t>MSFT</t>
        </is>
      </c>
      <c r="D64" s="2" t="inlineStr">
        <is>
          <t>position (lifecycle)</t>
        </is>
      </c>
      <c r="E64" s="2" t="inlineStr">
        <is>
          <t>Long</t>
        </is>
      </c>
      <c r="F64" s="2" t="inlineStr">
        <is>
          <t>Open</t>
        </is>
      </c>
      <c r="G64" s="2" t="inlineStr">
        <is>
          <t>2026-10-15</t>
        </is>
      </c>
      <c r="H64" s="2" t="inlineStr"/>
      <c r="I64" s="4" t="n">
        <v>7</v>
      </c>
      <c r="J64" s="5" t="n">
        <v>536.6514285714286</v>
      </c>
      <c r="K64" s="5" t="n"/>
      <c r="L64" s="5" t="n">
        <v>531.95</v>
      </c>
      <c r="M64" s="7">
        <f>IFERROR(IF(E64="Short",-1,1)*(IF(K64&lt;&gt;"",K64,L64)/J64-1),"")</f>
        <v/>
      </c>
      <c r="N64" s="6">
        <f>IFERROR(I64*(IF(K64&lt;&gt;"",K64,L64)-J64),"")</f>
        <v/>
      </c>
      <c r="O64" s="8" t="n">
        <v>0.5</v>
      </c>
      <c r="P64" s="2" t="n"/>
      <c r="Q64" s="9" t="inlineStr">
        <is>
          <t>Maia 300 AI chip (Oct 12-13) is a material positive: cuts Nvidia dependence, lifts Azure margins, multi-GW deployment from 2027, with bullish analyst actions (Melius $665, Barclays) into Oct 28 earnings. But stock sits 1.8% off its 52w high after +8.85% in a month, so much is priced; green card/H-1B suspension and OpenAI revenue shortfall temper upside. | horizon 4 days; exit if: Microsoft delays Maia 300 multi-GW Azure deployment beyond 2027; Microsoft cancels Maia 300 AI chip program; Microsoft cuts Azure margin guidance or reports Azure margin contraction</t>
        </is>
      </c>
    </row>
    <row r="65">
      <c r="A65" s="2" t="inlineStr">
        <is>
          <t>2026-10-14</t>
        </is>
      </c>
      <c r="B65" s="2" t="inlineStr">
        <is>
          <t>NFLX</t>
        </is>
      </c>
      <c r="C65" s="2" t="inlineStr">
        <is>
          <t>NFLX</t>
        </is>
      </c>
      <c r="D65" s="2" t="inlineStr">
        <is>
          <t>position (lifecycle)</t>
        </is>
      </c>
      <c r="E65" s="2" t="inlineStr">
        <is>
          <t>Short</t>
        </is>
      </c>
      <c r="F65" s="2" t="inlineStr">
        <is>
          <t>Open</t>
        </is>
      </c>
      <c r="G65" s="2" t="inlineStr">
        <is>
          <t>2026-10-15</t>
        </is>
      </c>
      <c r="H65" s="2" t="inlineStr"/>
      <c r="I65" s="4" t="n">
        <v>-15</v>
      </c>
      <c r="J65" s="5" t="n">
        <v>72.61</v>
      </c>
      <c r="K65" s="5" t="n"/>
      <c r="L65" s="5" t="n">
        <v>69.715</v>
      </c>
      <c r="M65" s="7">
        <f>IFERROR(IF(E65="Short",-1,1)*(IF(K65&lt;&gt;"",K65,L65)/J65-1),"")</f>
        <v/>
      </c>
      <c r="N65" s="6">
        <f>IFERROR(I65*(IF(K65&lt;&gt;"",K65,L65)-J65),"")</f>
        <v/>
      </c>
      <c r="O65" s="8" t="n">
        <v>0.55</v>
      </c>
      <c r="P65" s="2" t="n"/>
      <c r="Q65" s="9" t="inlineStr">
        <is>
          <t>Fresh negative catalysts — Oct 14 confirmation of ~1,000 job cuts (6% of workforce), heavy U.S. churn data, and Huber's Oct 13 double-downgrade to Underweight on engagement/pricing — keep the dominant Q2-selloff story (59% share, rising) intact into the Oct 20 Q3 print. The offsetting value-buying debate is fading, so NFLX should lag peers next week. | horizon 4 days; exit if: Netflix reports Q3 subscriber growth above expectations and raises full-year guidance; Huber Research upgrades Netflix to Overweight; Netflix announces major cost cuts that significantly improve margins</t>
        </is>
      </c>
    </row>
    <row r="66">
      <c r="A66" s="2" t="inlineStr">
        <is>
          <t>2026-10-14</t>
        </is>
      </c>
      <c r="B66" s="2" t="inlineStr">
        <is>
          <t>ON</t>
        </is>
      </c>
      <c r="C66" s="2" t="inlineStr">
        <is>
          <t>ON</t>
        </is>
      </c>
      <c r="D66" s="2" t="inlineStr">
        <is>
          <t>position (lifecycle)</t>
        </is>
      </c>
      <c r="E66" s="2" t="inlineStr">
        <is>
          <t>Long</t>
        </is>
      </c>
      <c r="F66" s="2" t="inlineStr">
        <is>
          <t>Open</t>
        </is>
      </c>
      <c r="G66" s="2" t="inlineStr">
        <is>
          <t>2026-10-15</t>
        </is>
      </c>
      <c r="H66" s="2" t="inlineStr"/>
      <c r="I66" s="4" t="n">
        <v>37</v>
      </c>
      <c r="J66" s="5" t="n">
        <v>73.81</v>
      </c>
      <c r="K66" s="5" t="n"/>
      <c r="L66" s="5" t="n">
        <v>75.65000000000001</v>
      </c>
      <c r="M66" s="7">
        <f>IFERROR(IF(E66="Short",-1,1)*(IF(K66&lt;&gt;"",K66,L66)/J66-1),"")</f>
        <v/>
      </c>
      <c r="N66" s="6">
        <f>IFERROR(I66*(IF(K66&lt;&gt;"",K66,L66)-J66),"")</f>
        <v/>
      </c>
      <c r="O66" s="8" t="n">
        <v>0.55</v>
      </c>
      <c r="P66" s="2" t="n"/>
      <c r="Q66" s="9" t="inlineStr">
        <is>
          <t>Fresh Oct 14 Sungrow EliteSiC energy-storage deployment is a concrete customer win, and the revised all-cash Synaptics deal ($123/share, immediately accretive, with Cirrus exiting as rival) improves deal certainty. Both land after an 11% weekly selloff, while the AI data-center growth narrative persists. Much coverage is price-recap noise, so upside is modest. | horizon 4 days; exit if: Sungrow cancels or delays EliteSiC deployment; onsemi loses Sungrow design win to competitor; Synaptics deal terminated</t>
        </is>
      </c>
    </row>
    <row r="67">
      <c r="A67" s="2" t="inlineStr">
        <is>
          <t>2026-10-14</t>
        </is>
      </c>
      <c r="B67" s="2" t="inlineStr">
        <is>
          <t>ORCL</t>
        </is>
      </c>
      <c r="C67" s="2" t="inlineStr">
        <is>
          <t>ORCL</t>
        </is>
      </c>
      <c r="D67" s="2" t="inlineStr">
        <is>
          <t>position (lifecycle)</t>
        </is>
      </c>
      <c r="E67" s="2" t="inlineStr">
        <is>
          <t>Short</t>
        </is>
      </c>
      <c r="F67" s="2" t="inlineStr">
        <is>
          <t>Open</t>
        </is>
      </c>
      <c r="G67" s="2" t="inlineStr">
        <is>
          <t>2026-10-15</t>
        </is>
      </c>
      <c r="H67" s="2" t="inlineStr"/>
      <c r="I67" s="4" t="n">
        <v>-29</v>
      </c>
      <c r="J67" s="5" t="n">
        <v>134.657586</v>
      </c>
      <c r="K67" s="5" t="n"/>
      <c r="L67" s="5" t="n">
        <v>132.45</v>
      </c>
      <c r="M67" s="7">
        <f>IFERROR(IF(E67="Short",-1,1)*(IF(K67&lt;&gt;"",K67,L67)/J67-1),"")</f>
        <v/>
      </c>
      <c r="N67" s="6">
        <f>IFERROR(I67*(IF(K67&lt;&gt;"",K67,L67)-J67),"")</f>
        <v/>
      </c>
      <c r="O67" s="8" t="n">
        <v>0.5</v>
      </c>
      <c r="P67" s="2" t="n"/>
      <c r="Q67" s="9" t="inlineStr">
        <is>
          <t>AI debt-bubble repricing (26% of coverage, rising) is crushing ORCL: CoreWeave bond yields near 15%, hot Oct-14 CPI reviving Fed-hike bets, Burry's Nasdaq puts. Oracle, the most levered AI-capex name with -$5.4B FCF and stalled gas/pipeline projects, remains the funding fear's whipping boy despite its $664B backlog. | horizon 4 days; exit if: CoreWeave bond yield falls below 10% or AI credit spreads normalize; Oracle reports positive free cash flow or raises FY guidance; FERC approves Project Jupiter pipeline without further delays</t>
        </is>
      </c>
    </row>
    <row r="68">
      <c r="A68" s="2" t="inlineStr">
        <is>
          <t>2026-10-14</t>
        </is>
      </c>
      <c r="B68" s="2" t="inlineStr">
        <is>
          <t>SMCI</t>
        </is>
      </c>
      <c r="C68" s="2" t="inlineStr">
        <is>
          <t>SMCI</t>
        </is>
      </c>
      <c r="D68" s="2" t="inlineStr">
        <is>
          <t>position (lifecycle)</t>
        </is>
      </c>
      <c r="E68" s="2" t="inlineStr">
        <is>
          <t>Short</t>
        </is>
      </c>
      <c r="F68" s="2" t="inlineStr">
        <is>
          <t>Open</t>
        </is>
      </c>
      <c r="G68" s="2" t="inlineStr">
        <is>
          <t>2026-10-15</t>
        </is>
      </c>
      <c r="H68" s="2" t="inlineStr"/>
      <c r="I68" s="4" t="n">
        <v>-61</v>
      </c>
      <c r="J68" s="5" t="n">
        <v>35.094677</v>
      </c>
      <c r="K68" s="5" t="n"/>
      <c r="L68" s="5" t="n">
        <v>32.16</v>
      </c>
      <c r="M68" s="7">
        <f>IFERROR(IF(E68="Short",-1,1)*(IF(K68&lt;&gt;"",K68,L68)/J68-1),"")</f>
        <v/>
      </c>
      <c r="N68" s="6">
        <f>IFERROR(I68*(IF(K68&lt;&gt;"",K68,L68)-J68),"")</f>
        <v/>
      </c>
      <c r="O68" s="8" t="n">
        <v>0.55</v>
      </c>
      <c r="P68" s="2" t="n"/>
      <c r="Q68" s="9" t="inlineStr">
        <is>
          <t>Fresh material legal overhang: a Supermicro contractor pleaded guilty (Oct 10-12) in a $2.5B illegal Nvidia AI-server export scheme to China, reportedly conspiring with a company co-founder. This is SMCI-specific negative news, though the ~20% weekly drop already prices much of it; residual investigation/regulatory risk keeps relative pressure. | horizon 3 days; exit if: Super Micro is cleared of wrongdoing in the $2.5B export scheme; Federal probe into Super Micro closes with no charges or penalties; Contractor's guilty plea is withdrawn or overturned</t>
        </is>
      </c>
    </row>
    <row r="69">
      <c r="A69" s="2" t="inlineStr">
        <is>
          <t>2026-10-14</t>
        </is>
      </c>
      <c r="B69" s="2" t="inlineStr">
        <is>
          <t>STT</t>
        </is>
      </c>
      <c r="C69" s="2" t="inlineStr">
        <is>
          <t>STT</t>
        </is>
      </c>
      <c r="D69" s="2" t="inlineStr">
        <is>
          <t>position (lifecycle)</t>
        </is>
      </c>
      <c r="E69" s="2" t="inlineStr">
        <is>
          <t>Short</t>
        </is>
      </c>
      <c r="F69" s="2" t="inlineStr">
        <is>
          <t>Open</t>
        </is>
      </c>
      <c r="G69" s="2" t="inlineStr">
        <is>
          <t>2026-10-15</t>
        </is>
      </c>
      <c r="H69" s="2" t="inlineStr"/>
      <c r="I69" s="4" t="n">
        <v>-14</v>
      </c>
      <c r="J69" s="5" t="n">
        <v>167.637143</v>
      </c>
      <c r="K69" s="5" t="n"/>
      <c r="L69" s="5" t="n">
        <v>167.38</v>
      </c>
      <c r="M69" s="7">
        <f>IFERROR(IF(E69="Short",-1,1)*(IF(K69&lt;&gt;"",K69,L69)/J69-1),"")</f>
        <v/>
      </c>
      <c r="N69" s="6">
        <f>IFERROR(I69*(IF(K69&lt;&gt;"",K69,L69)-J69),"")</f>
        <v/>
      </c>
      <c r="O69" s="8" t="n">
        <v>0.6</v>
      </c>
      <c r="P69" s="2" t="n"/>
      <c r="Q69" s="9" t="inlineStr">
        <is>
          <t>Q3 2026 (Oct 14) showed a revenue miss ($4.0bn) despite EPS beat, with net inflows collapsing to $7B and fee-growth outlook trailing views, matching the short thesis. Fresh negative earnings surprise should drive continued post-earnings underperformance vs peers, though much of it is already in the -8% month. | horizon 14 days; exit if: State Street reports a revenue beat with net inflows accelerating back above prior levels; Company raises its fee revenue growth outlook above consensus or prior guidance; Analysts cite improving fee-growth trajectory, reversing post-earnings underperformance versus peers</t>
        </is>
      </c>
    </row>
    <row r="70">
      <c r="A70" s="2" t="inlineStr">
        <is>
          <t>2026-10-14</t>
        </is>
      </c>
      <c r="B70" s="2" t="inlineStr">
        <is>
          <t>TSLA</t>
        </is>
      </c>
      <c r="C70" s="2" t="inlineStr">
        <is>
          <t>TSLA</t>
        </is>
      </c>
      <c r="D70" s="2" t="inlineStr">
        <is>
          <t>position (lifecycle)</t>
        </is>
      </c>
      <c r="E70" s="2" t="inlineStr">
        <is>
          <t>Short</t>
        </is>
      </c>
      <c r="F70" s="2" t="inlineStr">
        <is>
          <t>Open</t>
        </is>
      </c>
      <c r="G70" s="2" t="inlineStr">
        <is>
          <t>2026-10-15</t>
        </is>
      </c>
      <c r="H70" s="2" t="inlineStr"/>
      <c r="I70" s="4" t="n">
        <v>-4</v>
      </c>
      <c r="J70" s="5" t="n">
        <v>362.625</v>
      </c>
      <c r="K70" s="5" t="n"/>
      <c r="L70" s="5" t="n">
        <v>373.835</v>
      </c>
      <c r="M70" s="7">
        <f>IFERROR(IF(E70="Short",-1,1)*(IF(K70&lt;&gt;"",K70,L70)/J70-1),"")</f>
        <v/>
      </c>
      <c r="N70" s="6">
        <f>IFERROR(I70*(IF(K70&lt;&gt;"",K70,L70)-J70),"")</f>
        <v/>
      </c>
      <c r="O70" s="8" t="n">
        <v>0.4</v>
      </c>
      <c r="P70" s="2" t="n"/>
      <c r="Q70" s="9" t="inlineStr">
        <is>
          <t>NHTSA opened a second Cybercab probe (Oct 12) over speeding in school zones, a fresh regulatory overhang. Q3 earnings land Oct 20 amc with consensus expecting a double-digit profit dip and margin pressure, while Tesla's bigger-than-expected delivery beat (486,532) already failed to move the stock, so incremental news skews negative. | horizon 4 days; exit if: Tesla reports Q3 earnings beat with margin expansion; NHTSA closes Cybercab probe without defect finding; Tesla raises FY guidance</t>
        </is>
      </c>
    </row>
    <row r="71">
      <c r="A71" s="2" t="inlineStr">
        <is>
          <t>2026-10-14</t>
        </is>
      </c>
      <c r="B71" s="2" t="inlineStr">
        <is>
          <t>VEEV</t>
        </is>
      </c>
      <c r="C71" s="2" t="inlineStr">
        <is>
          <t>VEEV</t>
        </is>
      </c>
      <c r="D71" s="2" t="inlineStr">
        <is>
          <t>position (lifecycle)</t>
        </is>
      </c>
      <c r="E71" s="2" t="inlineStr">
        <is>
          <t>Long</t>
        </is>
      </c>
      <c r="F71" s="2" t="inlineStr">
        <is>
          <t>Open</t>
        </is>
      </c>
      <c r="G71" s="2" t="inlineStr">
        <is>
          <t>2026-10-15</t>
        </is>
      </c>
      <c r="H71" s="2" t="inlineStr"/>
      <c r="I71" s="4" t="n">
        <v>9</v>
      </c>
      <c r="J71" s="5" t="n">
        <v>313.1</v>
      </c>
      <c r="K71" s="5" t="n"/>
      <c r="L71" s="5" t="n">
        <v>319.525</v>
      </c>
      <c r="M71" s="7">
        <f>IFERROR(IF(E71="Short",-1,1)*(IF(K71&lt;&gt;"",K71,L71)/J71-1),"")</f>
        <v/>
      </c>
      <c r="N71" s="6">
        <f>IFERROR(I71*(IF(K71&lt;&gt;"",K71,L71)-J71),"")</f>
        <v/>
      </c>
      <c r="O71" s="8" t="n">
        <v>0.6</v>
      </c>
      <c r="P71" s="2" t="n"/>
      <c r="Q71" s="9" t="inlineStr">
        <is>
          <t>IQVIA adopting Veeva CTMS, eTMF, Study Startup and Site Connect as enterprise standards (Oct 13) is a material, moat-widening contract win, and the Clinical Expansion story is gaining share (63% vs 54%). The R&amp;D Summit Oct 20-21 falls inside the holding week as a near-term catalyst. But shares sit 1.4% off highs after +12% in a month, so much is priced. | horizon 3 days; exit if: IQVIA terminates or reverses the Veeva clinical applications standard designation; IQVIA adopts a rival vendor's CTMS/eTMF as its enterprise clinical standard; Veeva loses a major clinical customer or discloses declining Clinical Expansion share</t>
        </is>
      </c>
    </row>
  </sheetData>
  <autoFilter ref="A1:Q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6" customWidth="1" min="8" max="8"/>
    <col width="12" customWidth="1" min="9" max="9"/>
    <col width="12" customWidth="1" min="10" max="10"/>
    <col width="12" customWidth="1" min="11" max="11"/>
    <col width="12" customWidth="1" min="12" max="12"/>
    <col width="12" customWidth="1" min="13" max="13"/>
    <col width="12" customWidth="1" min="14" max="14"/>
    <col width="34" customWidth="1" min="15" max="15"/>
  </cols>
  <sheetData>
    <row r="1" ht="30" customHeight="1">
      <c r="A1" s="1" t="inlineStr">
        <is>
          <t>Week (as-of Wed)</t>
        </is>
      </c>
      <c r="B1" s="1" t="inlineStr">
        <is>
          <t>Execution day</t>
        </is>
      </c>
      <c r="C1" s="1" t="inlineStr">
        <is>
          <t>Ticker</t>
        </is>
      </c>
      <c r="D1" s="1" t="inlineStr">
        <is>
          <t>Leg</t>
        </is>
      </c>
      <c r="E1" s="1" t="inlineStr">
        <is>
          <t>Side</t>
        </is>
      </c>
      <c r="F1" s="1" t="inlineStr">
        <is>
          <t>Ordered</t>
        </is>
      </c>
      <c r="G1" s="1" t="inlineStr">
        <is>
          <t>Filled</t>
        </is>
      </c>
      <c r="H1" s="1" t="inlineStr">
        <is>
          <t>Order type</t>
        </is>
      </c>
      <c r="I1" s="1" t="inlineStr">
        <is>
          <t>Reference price ($)</t>
        </is>
      </c>
      <c r="J1" s="1" t="inlineStr">
        <is>
          <t>Status</t>
        </is>
      </c>
      <c r="K1" s="1" t="inlineStr">
        <is>
          <t>Fill price ($)</t>
        </is>
      </c>
      <c r="L1" s="1" t="inlineStr">
        <is>
          <t>Official close ($)</t>
        </is>
      </c>
      <c r="M1" s="1" t="inlineStr">
        <is>
          <t>Slippage vs close (bp)</t>
        </is>
      </c>
      <c r="N1" s="1" t="inlineStr">
        <is>
          <t>Notional ($)</t>
        </is>
      </c>
      <c r="O1" s="1" t="inlineStr">
        <is>
          <t>Client order id</t>
        </is>
      </c>
    </row>
    <row r="2">
      <c r="A2" s="2" t="inlineStr">
        <is>
          <t>2026-09-30</t>
        </is>
      </c>
      <c r="B2" s="2" t="inlineStr">
        <is>
          <t>2026-10-01</t>
        </is>
      </c>
      <c r="C2" s="2" t="inlineStr">
        <is>
          <t>AMD</t>
        </is>
      </c>
      <c r="D2" s="2" t="inlineStr">
        <is>
          <t>rebalance</t>
        </is>
      </c>
      <c r="E2" s="2" t="inlineStr">
        <is>
          <t>sell</t>
        </is>
      </c>
      <c r="F2" s="10" t="n">
        <v>5</v>
      </c>
      <c r="G2" s="10" t="n">
        <v>0</v>
      </c>
      <c r="H2" s="2" t="inlineStr">
        <is>
          <t>market-on-close</t>
        </is>
      </c>
      <c r="I2" s="5" t="n">
        <v>610.96</v>
      </c>
      <c r="J2" s="2" t="inlineStr">
        <is>
          <t>expired</t>
        </is>
      </c>
      <c r="K2" s="5" t="n"/>
      <c r="L2" s="5" t="n">
        <v>615.72998046875</v>
      </c>
      <c r="M2" s="11" t="n"/>
      <c r="N2" s="10">
        <f>IFERROR(G2*IF(K2&lt;&gt;"",K2,I2),"")</f>
        <v/>
      </c>
      <c r="O2" s="2" t="inlineStr">
        <is>
          <t>fund-2026-09-30-AMD-rebalance</t>
        </is>
      </c>
    </row>
    <row r="3">
      <c r="A3" s="2" t="inlineStr">
        <is>
          <t>2026-09-30</t>
        </is>
      </c>
      <c r="B3" s="2" t="inlineStr">
        <is>
          <t>2026-10-01</t>
        </is>
      </c>
      <c r="C3" s="2" t="inlineStr">
        <is>
          <t>AVGO</t>
        </is>
      </c>
      <c r="D3" s="2" t="inlineStr">
        <is>
          <t>rebalance</t>
        </is>
      </c>
      <c r="E3" s="2" t="inlineStr">
        <is>
          <t>sell</t>
        </is>
      </c>
      <c r="F3" s="10" t="n">
        <v>7</v>
      </c>
      <c r="G3" s="10" t="n">
        <v>0</v>
      </c>
      <c r="H3" s="2" t="inlineStr">
        <is>
          <t>market-on-close</t>
        </is>
      </c>
      <c r="I3" s="5" t="n">
        <v>347.67</v>
      </c>
      <c r="J3" s="2" t="inlineStr">
        <is>
          <t>expired</t>
        </is>
      </c>
      <c r="K3" s="5" t="n"/>
      <c r="L3" s="5" t="n">
        <v>343.6400146484375</v>
      </c>
      <c r="M3" s="11" t="n"/>
      <c r="N3" s="10">
        <f>IFERROR(G3*IF(K3&lt;&gt;"",K3,I3),"")</f>
        <v/>
      </c>
      <c r="O3" s="2" t="inlineStr">
        <is>
          <t>fund-2026-09-30-AVGO-rebalance</t>
        </is>
      </c>
    </row>
    <row r="4">
      <c r="A4" s="2" t="inlineStr">
        <is>
          <t>2026-09-30</t>
        </is>
      </c>
      <c r="B4" s="2" t="inlineStr">
        <is>
          <t>2026-10-01</t>
        </is>
      </c>
      <c r="C4" s="2" t="inlineStr">
        <is>
          <t>BRK.B</t>
        </is>
      </c>
      <c r="D4" s="2" t="inlineStr">
        <is>
          <t>rebalance</t>
        </is>
      </c>
      <c r="E4" s="2" t="inlineStr">
        <is>
          <t>sell</t>
        </is>
      </c>
      <c r="F4" s="10" t="n">
        <v>6</v>
      </c>
      <c r="G4" s="10" t="n">
        <v>4</v>
      </c>
      <c r="H4" s="2" t="inlineStr">
        <is>
          <t>market-on-close</t>
        </is>
      </c>
      <c r="I4" s="5" t="n">
        <v>498.87</v>
      </c>
      <c r="J4" s="2" t="inlineStr">
        <is>
          <t>expired</t>
        </is>
      </c>
      <c r="K4" s="5" t="n">
        <v>500.56</v>
      </c>
      <c r="L4" s="5" t="n">
        <v>500.5</v>
      </c>
      <c r="M4" s="11" t="n">
        <v>-1.19880119880067</v>
      </c>
      <c r="N4" s="10">
        <f>IFERROR(G4*IF(K4&lt;&gt;"",K4,I4),"")</f>
        <v/>
      </c>
      <c r="O4" s="2" t="inlineStr">
        <is>
          <t>fund-2026-09-30-BRK.B-rebalance</t>
        </is>
      </c>
    </row>
    <row r="5">
      <c r="A5" s="2" t="inlineStr">
        <is>
          <t>2026-09-30</t>
        </is>
      </c>
      <c r="B5" s="2" t="inlineStr">
        <is>
          <t>2026-10-01</t>
        </is>
      </c>
      <c r="C5" s="2" t="inlineStr">
        <is>
          <t>FICO</t>
        </is>
      </c>
      <c r="D5" s="2" t="inlineStr">
        <is>
          <t>rebalance</t>
        </is>
      </c>
      <c r="E5" s="2" t="inlineStr">
        <is>
          <t>sell</t>
        </is>
      </c>
      <c r="F5" s="10" t="n">
        <v>9</v>
      </c>
      <c r="G5" s="10" t="n">
        <v>0</v>
      </c>
      <c r="H5" s="2" t="inlineStr">
        <is>
          <t>market-on-close</t>
        </is>
      </c>
      <c r="I5" s="5" t="n">
        <v>653.135</v>
      </c>
      <c r="J5" s="2" t="inlineStr">
        <is>
          <t>expired</t>
        </is>
      </c>
      <c r="K5" s="5" t="n"/>
      <c r="L5" s="5" t="n">
        <v>661.75</v>
      </c>
      <c r="M5" s="11" t="n"/>
      <c r="N5" s="10">
        <f>IFERROR(G5*IF(K5&lt;&gt;"",K5,I5),"")</f>
        <v/>
      </c>
      <c r="O5" s="2" t="inlineStr">
        <is>
          <t>fund-2026-09-30-FICO-rebalance</t>
        </is>
      </c>
    </row>
    <row r="6">
      <c r="A6" s="2" t="inlineStr">
        <is>
          <t>2026-09-30</t>
        </is>
      </c>
      <c r="B6" s="2" t="inlineStr">
        <is>
          <t>2026-10-01</t>
        </is>
      </c>
      <c r="C6" s="2" t="inlineStr">
        <is>
          <t>GEV</t>
        </is>
      </c>
      <c r="D6" s="2" t="inlineStr">
        <is>
          <t>rebalance</t>
        </is>
      </c>
      <c r="E6" s="2" t="inlineStr">
        <is>
          <t>buy</t>
        </is>
      </c>
      <c r="F6" s="10" t="n">
        <v>3</v>
      </c>
      <c r="G6" s="10" t="n">
        <v>2</v>
      </c>
      <c r="H6" s="2" t="inlineStr">
        <is>
          <t>market-on-close</t>
        </is>
      </c>
      <c r="I6" s="5" t="n">
        <v>971</v>
      </c>
      <c r="J6" s="2" t="inlineStr">
        <is>
          <t>expired</t>
        </is>
      </c>
      <c r="K6" s="5" t="n">
        <v>987.38</v>
      </c>
      <c r="L6" s="5" t="n">
        <v>987.4500122070312</v>
      </c>
      <c r="M6" s="11" t="n">
        <v>-0.709020265995397</v>
      </c>
      <c r="N6" s="10">
        <f>IFERROR(G6*IF(K6&lt;&gt;"",K6,I6),"")</f>
        <v/>
      </c>
      <c r="O6" s="2" t="inlineStr">
        <is>
          <t>fund-2026-09-30-GEV-rebalance</t>
        </is>
      </c>
    </row>
    <row r="7">
      <c r="A7" s="2" t="inlineStr">
        <is>
          <t>2026-09-30</t>
        </is>
      </c>
      <c r="B7" s="2" t="inlineStr">
        <is>
          <t>2026-10-01</t>
        </is>
      </c>
      <c r="C7" s="2" t="inlineStr">
        <is>
          <t>HPE</t>
        </is>
      </c>
      <c r="D7" s="2" t="inlineStr">
        <is>
          <t>rebalance</t>
        </is>
      </c>
      <c r="E7" s="2" t="inlineStr">
        <is>
          <t>buy</t>
        </is>
      </c>
      <c r="F7" s="10" t="n">
        <v>49</v>
      </c>
      <c r="G7" s="10" t="n">
        <v>0</v>
      </c>
      <c r="H7" s="2" t="inlineStr">
        <is>
          <t>market-on-close</t>
        </is>
      </c>
      <c r="I7" s="5" t="n">
        <v>64.23999999999999</v>
      </c>
      <c r="J7" s="2" t="inlineStr">
        <is>
          <t>expired</t>
        </is>
      </c>
      <c r="K7" s="5" t="n"/>
      <c r="L7" s="5" t="n">
        <v>64.58000183105469</v>
      </c>
      <c r="M7" s="11" t="n"/>
      <c r="N7" s="10">
        <f>IFERROR(G7*IF(K7&lt;&gt;"",K7,I7),"")</f>
        <v/>
      </c>
      <c r="O7" s="2" t="inlineStr">
        <is>
          <t>fund-2026-09-30-HPE-rebalance</t>
        </is>
      </c>
    </row>
    <row r="8">
      <c r="A8" s="2" t="inlineStr">
        <is>
          <t>2026-09-30</t>
        </is>
      </c>
      <c r="B8" s="2" t="inlineStr">
        <is>
          <t>2026-10-01</t>
        </is>
      </c>
      <c r="C8" s="2" t="inlineStr">
        <is>
          <t>HRL</t>
        </is>
      </c>
      <c r="D8" s="2" t="inlineStr">
        <is>
          <t>rebalance</t>
        </is>
      </c>
      <c r="E8" s="2" t="inlineStr">
        <is>
          <t>sell</t>
        </is>
      </c>
      <c r="F8" s="10" t="n">
        <v>151</v>
      </c>
      <c r="G8" s="10" t="n">
        <v>0</v>
      </c>
      <c r="H8" s="2" t="inlineStr">
        <is>
          <t>market-on-close</t>
        </is>
      </c>
      <c r="I8" s="5" t="n">
        <v>19.855</v>
      </c>
      <c r="J8" s="2" t="inlineStr">
        <is>
          <t>expired</t>
        </is>
      </c>
      <c r="K8" s="5" t="n"/>
      <c r="L8" s="5" t="n">
        <v>19.95999908447266</v>
      </c>
      <c r="M8" s="11" t="n"/>
      <c r="N8" s="10">
        <f>IFERROR(G8*IF(K8&lt;&gt;"",K8,I8),"")</f>
        <v/>
      </c>
      <c r="O8" s="2" t="inlineStr">
        <is>
          <t>fund-2026-09-30-HRL-rebalance</t>
        </is>
      </c>
    </row>
    <row r="9">
      <c r="A9" s="2" t="inlineStr">
        <is>
          <t>2026-09-30</t>
        </is>
      </c>
      <c r="B9" s="2" t="inlineStr">
        <is>
          <t>2026-10-01</t>
        </is>
      </c>
      <c r="C9" s="2" t="inlineStr">
        <is>
          <t>LITE</t>
        </is>
      </c>
      <c r="D9" s="2" t="inlineStr">
        <is>
          <t>rebalance</t>
        </is>
      </c>
      <c r="E9" s="2" t="inlineStr">
        <is>
          <t>buy</t>
        </is>
      </c>
      <c r="F9" s="10" t="n">
        <v>3</v>
      </c>
      <c r="G9" s="10" t="n">
        <v>0</v>
      </c>
      <c r="H9" s="2" t="inlineStr">
        <is>
          <t>market-on-close</t>
        </is>
      </c>
      <c r="I9" s="5" t="n">
        <v>1054.455</v>
      </c>
      <c r="J9" s="2" t="inlineStr">
        <is>
          <t>expired</t>
        </is>
      </c>
      <c r="K9" s="5" t="n"/>
      <c r="L9" s="5" t="n">
        <v>1045.780029296875</v>
      </c>
      <c r="M9" s="11" t="n"/>
      <c r="N9" s="10">
        <f>IFERROR(G9*IF(K9&lt;&gt;"",K9,I9),"")</f>
        <v/>
      </c>
      <c r="O9" s="2" t="inlineStr">
        <is>
          <t>fund-2026-09-30-LITE-rebalance</t>
        </is>
      </c>
    </row>
    <row r="10">
      <c r="A10" s="2" t="inlineStr">
        <is>
          <t>2026-09-30</t>
        </is>
      </c>
      <c r="B10" s="2" t="inlineStr">
        <is>
          <t>2026-10-01</t>
        </is>
      </c>
      <c r="C10" s="2" t="inlineStr">
        <is>
          <t>LLY</t>
        </is>
      </c>
      <c r="D10" s="2" t="inlineStr">
        <is>
          <t>rebalance</t>
        </is>
      </c>
      <c r="E10" s="2" t="inlineStr">
        <is>
          <t>buy</t>
        </is>
      </c>
      <c r="F10" s="10" t="n">
        <v>3</v>
      </c>
      <c r="G10" s="10" t="n">
        <v>0</v>
      </c>
      <c r="H10" s="2" t="inlineStr">
        <is>
          <t>market-on-close</t>
        </is>
      </c>
      <c r="I10" s="5" t="n">
        <v>1143.745</v>
      </c>
      <c r="J10" s="2" t="inlineStr">
        <is>
          <t>expired</t>
        </is>
      </c>
      <c r="K10" s="5" t="n"/>
      <c r="L10" s="5" t="n">
        <v>1149.849975585938</v>
      </c>
      <c r="M10" s="11" t="n"/>
      <c r="N10" s="10">
        <f>IFERROR(G10*IF(K10&lt;&gt;"",K10,I10),"")</f>
        <v/>
      </c>
      <c r="O10" s="2" t="inlineStr">
        <is>
          <t>fund-2026-09-30-LLY-rebalance</t>
        </is>
      </c>
    </row>
    <row r="11">
      <c r="A11" s="2" t="inlineStr">
        <is>
          <t>2026-09-30</t>
        </is>
      </c>
      <c r="B11" s="2" t="inlineStr">
        <is>
          <t>2026-10-01</t>
        </is>
      </c>
      <c r="C11" s="2" t="inlineStr">
        <is>
          <t>LULU</t>
        </is>
      </c>
      <c r="D11" s="2" t="inlineStr">
        <is>
          <t>rebalance</t>
        </is>
      </c>
      <c r="E11" s="2" t="inlineStr">
        <is>
          <t>sell</t>
        </is>
      </c>
      <c r="F11" s="10" t="n">
        <v>31</v>
      </c>
      <c r="G11" s="10" t="n">
        <v>27</v>
      </c>
      <c r="H11" s="2" t="inlineStr">
        <is>
          <t>market-on-close</t>
        </is>
      </c>
      <c r="I11" s="5" t="n">
        <v>97.37</v>
      </c>
      <c r="J11" s="2" t="inlineStr">
        <is>
          <t>expired</t>
        </is>
      </c>
      <c r="K11" s="5" t="n">
        <v>95.87</v>
      </c>
      <c r="L11" s="5" t="n">
        <v>95.86000061035156</v>
      </c>
      <c r="M11" s="11" t="n">
        <v>-1.043124304691556</v>
      </c>
      <c r="N11" s="10">
        <f>IFERROR(G11*IF(K11&lt;&gt;"",K11,I11),"")</f>
        <v/>
      </c>
      <c r="O11" s="2" t="inlineStr">
        <is>
          <t>fund-2026-09-30-LULU-rebalance</t>
        </is>
      </c>
    </row>
    <row r="12">
      <c r="A12" s="2" t="inlineStr">
        <is>
          <t>2026-09-30</t>
        </is>
      </c>
      <c r="B12" s="2" t="inlineStr">
        <is>
          <t>2026-10-01</t>
        </is>
      </c>
      <c r="C12" s="2" t="inlineStr">
        <is>
          <t>MU</t>
        </is>
      </c>
      <c r="D12" s="2" t="inlineStr">
        <is>
          <t>rebalance</t>
        </is>
      </c>
      <c r="E12" s="2" t="inlineStr">
        <is>
          <t>buy</t>
        </is>
      </c>
      <c r="F12" s="10" t="n">
        <v>3</v>
      </c>
      <c r="G12" s="10" t="n">
        <v>2</v>
      </c>
      <c r="H12" s="2" t="inlineStr">
        <is>
          <t>market-on-close</t>
        </is>
      </c>
      <c r="I12" s="5" t="n">
        <v>1047.22</v>
      </c>
      <c r="J12" s="2" t="inlineStr">
        <is>
          <t>expired</t>
        </is>
      </c>
      <c r="K12" s="5" t="n">
        <v>1097.61</v>
      </c>
      <c r="L12" s="5" t="n">
        <v>1097.390014648438</v>
      </c>
      <c r="M12" s="11" t="n">
        <v>2.004623229898694</v>
      </c>
      <c r="N12" s="10">
        <f>IFERROR(G12*IF(K12&lt;&gt;"",K12,I12),"")</f>
        <v/>
      </c>
      <c r="O12" s="2" t="inlineStr">
        <is>
          <t>fund-2026-09-30-MU-rebalance</t>
        </is>
      </c>
    </row>
    <row r="13">
      <c r="A13" s="2" t="inlineStr">
        <is>
          <t>2026-09-30</t>
        </is>
      </c>
      <c r="B13" s="2" t="inlineStr">
        <is>
          <t>2026-10-01</t>
        </is>
      </c>
      <c r="C13" s="2" t="inlineStr">
        <is>
          <t>NFLX</t>
        </is>
      </c>
      <c r="D13" s="2" t="inlineStr">
        <is>
          <t>rebalance</t>
        </is>
      </c>
      <c r="E13" s="2" t="inlineStr">
        <is>
          <t>buy</t>
        </is>
      </c>
      <c r="F13" s="10" t="n">
        <v>39</v>
      </c>
      <c r="G13" s="10" t="n">
        <v>24</v>
      </c>
      <c r="H13" s="2" t="inlineStr">
        <is>
          <t>market-on-close</t>
        </is>
      </c>
      <c r="I13" s="5" t="n">
        <v>68</v>
      </c>
      <c r="J13" s="2" t="inlineStr">
        <is>
          <t>expired</t>
        </is>
      </c>
      <c r="K13" s="5" t="n">
        <v>67.84999999999999</v>
      </c>
      <c r="L13" s="5" t="n">
        <v>67.84999847412109</v>
      </c>
      <c r="M13" s="11" t="n">
        <v>0.0002248900421442</v>
      </c>
      <c r="N13" s="10">
        <f>IFERROR(G13*IF(K13&lt;&gt;"",K13,I13),"")</f>
        <v/>
      </c>
      <c r="O13" s="2" t="inlineStr">
        <is>
          <t>fund-2026-09-30-NFLX-rebalance</t>
        </is>
      </c>
    </row>
    <row r="14">
      <c r="A14" s="2" t="inlineStr">
        <is>
          <t>2026-09-30</t>
        </is>
      </c>
      <c r="B14" s="2" t="inlineStr">
        <is>
          <t>2026-10-01</t>
        </is>
      </c>
      <c r="C14" s="2" t="inlineStr">
        <is>
          <t>NVDA</t>
        </is>
      </c>
      <c r="D14" s="2" t="inlineStr">
        <is>
          <t>rebalance</t>
        </is>
      </c>
      <c r="E14" s="2" t="inlineStr">
        <is>
          <t>buy</t>
        </is>
      </c>
      <c r="F14" s="10" t="n">
        <v>14</v>
      </c>
      <c r="G14" s="10" t="n">
        <v>0</v>
      </c>
      <c r="H14" s="2" t="inlineStr">
        <is>
          <t>market-on-close</t>
        </is>
      </c>
      <c r="I14" s="5" t="n">
        <v>230.055</v>
      </c>
      <c r="J14" s="2" t="inlineStr">
        <is>
          <t>expired</t>
        </is>
      </c>
      <c r="K14" s="5" t="n"/>
      <c r="L14" s="5" t="n">
        <v>230.8600006103516</v>
      </c>
      <c r="M14" s="11" t="n"/>
      <c r="N14" s="10">
        <f>IFERROR(G14*IF(K14&lt;&gt;"",K14,I14),"")</f>
        <v/>
      </c>
      <c r="O14" s="2" t="inlineStr">
        <is>
          <t>fund-2026-09-30-NVDA-rebalance</t>
        </is>
      </c>
    </row>
    <row r="15">
      <c r="A15" s="2" t="inlineStr">
        <is>
          <t>2026-09-30</t>
        </is>
      </c>
      <c r="B15" s="2" t="inlineStr">
        <is>
          <t>2026-10-01</t>
        </is>
      </c>
      <c r="C15" s="2" t="inlineStr">
        <is>
          <t>ORCL</t>
        </is>
      </c>
      <c r="D15" s="2" t="inlineStr">
        <is>
          <t>rebalance</t>
        </is>
      </c>
      <c r="E15" s="2" t="inlineStr">
        <is>
          <t>sell</t>
        </is>
      </c>
      <c r="F15" s="10" t="n">
        <v>23</v>
      </c>
      <c r="G15" s="10" t="n">
        <v>0</v>
      </c>
      <c r="H15" s="2" t="inlineStr">
        <is>
          <t>market-on-close</t>
        </is>
      </c>
      <c r="I15" s="5" t="n">
        <v>136.495</v>
      </c>
      <c r="J15" s="2" t="inlineStr">
        <is>
          <t>expired</t>
        </is>
      </c>
      <c r="K15" s="5" t="n"/>
      <c r="L15" s="5" t="n">
        <v>138.0700073242188</v>
      </c>
      <c r="M15" s="11" t="n"/>
      <c r="N15" s="10">
        <f>IFERROR(G15*IF(K15&lt;&gt;"",K15,I15),"")</f>
        <v/>
      </c>
      <c r="O15" s="2" t="inlineStr">
        <is>
          <t>fund-2026-09-30-ORCL-rebalance</t>
        </is>
      </c>
    </row>
    <row r="16">
      <c r="A16" s="2" t="inlineStr">
        <is>
          <t>2026-09-30</t>
        </is>
      </c>
      <c r="B16" s="2" t="inlineStr">
        <is>
          <t>2026-10-01</t>
        </is>
      </c>
      <c r="C16" s="2" t="inlineStr">
        <is>
          <t>RTX</t>
        </is>
      </c>
      <c r="D16" s="2" t="inlineStr">
        <is>
          <t>rebalance</t>
        </is>
      </c>
      <c r="E16" s="2" t="inlineStr">
        <is>
          <t>buy</t>
        </is>
      </c>
      <c r="F16" s="10" t="n">
        <v>16</v>
      </c>
      <c r="G16" s="10" t="n">
        <v>0</v>
      </c>
      <c r="H16" s="2" t="inlineStr">
        <is>
          <t>market-on-close</t>
        </is>
      </c>
      <c r="I16" s="5" t="n">
        <v>185.3</v>
      </c>
      <c r="J16" s="2" t="inlineStr">
        <is>
          <t>expired</t>
        </is>
      </c>
      <c r="K16" s="5" t="n"/>
      <c r="L16" s="5" t="n">
        <v>185.0099945068359</v>
      </c>
      <c r="M16" s="11" t="n"/>
      <c r="N16" s="10">
        <f>IFERROR(G16*IF(K16&lt;&gt;"",K16,I16),"")</f>
        <v/>
      </c>
      <c r="O16" s="2" t="inlineStr">
        <is>
          <t>fund-2026-09-30-RTX-rebalance</t>
        </is>
      </c>
    </row>
    <row r="17">
      <c r="A17" s="2" t="inlineStr">
        <is>
          <t>2026-09-30</t>
        </is>
      </c>
      <c r="B17" s="2" t="inlineStr">
        <is>
          <t>2026-10-01</t>
        </is>
      </c>
      <c r="C17" s="2" t="inlineStr">
        <is>
          <t>SNDK</t>
        </is>
      </c>
      <c r="D17" s="2" t="inlineStr">
        <is>
          <t>rebalance</t>
        </is>
      </c>
      <c r="E17" s="2" t="inlineStr">
        <is>
          <t>buy</t>
        </is>
      </c>
      <c r="F17" s="10" t="n">
        <v>3</v>
      </c>
      <c r="G17" s="10" t="n">
        <v>0</v>
      </c>
      <c r="H17" s="2" t="inlineStr">
        <is>
          <t>market-on-close</t>
        </is>
      </c>
      <c r="I17" s="5" t="n">
        <v>1745.26</v>
      </c>
      <c r="J17" s="2" t="inlineStr">
        <is>
          <t>expired</t>
        </is>
      </c>
      <c r="K17" s="5" t="n"/>
      <c r="L17" s="5" t="n">
        <v>1787.68994140625</v>
      </c>
      <c r="M17" s="11" t="n"/>
      <c r="N17" s="10">
        <f>IFERROR(G17*IF(K17&lt;&gt;"",K17,I17),"")</f>
        <v/>
      </c>
      <c r="O17" s="2" t="inlineStr">
        <is>
          <t>fund-2026-09-30-SNDK-rebalance</t>
        </is>
      </c>
    </row>
    <row r="18">
      <c r="A18" s="2" t="inlineStr">
        <is>
          <t>2026-09-30</t>
        </is>
      </c>
      <c r="B18" s="2" t="inlineStr">
        <is>
          <t>2026-10-01</t>
        </is>
      </c>
      <c r="C18" s="2" t="inlineStr">
        <is>
          <t>SPY</t>
        </is>
      </c>
      <c r="D18" s="2" t="inlineStr">
        <is>
          <t>rebalance</t>
        </is>
      </c>
      <c r="E18" s="2" t="inlineStr">
        <is>
          <t>sell</t>
        </is>
      </c>
      <c r="F18" s="10" t="n">
        <v>21</v>
      </c>
      <c r="G18" s="10" t="n">
        <v>0</v>
      </c>
      <c r="H18" s="2" t="inlineStr">
        <is>
          <t>market-on-close</t>
        </is>
      </c>
      <c r="I18" s="5" t="n">
        <v>761.04</v>
      </c>
      <c r="J18" s="2" t="inlineStr">
        <is>
          <t>expired</t>
        </is>
      </c>
      <c r="K18" s="5" t="n"/>
      <c r="L18" s="5" t="n">
        <v>763.989990234375</v>
      </c>
      <c r="M18" s="11" t="n"/>
      <c r="N18" s="10">
        <f>IFERROR(G18*IF(K18&lt;&gt;"",K18,I18),"")</f>
        <v/>
      </c>
      <c r="O18" s="2" t="inlineStr">
        <is>
          <t>fund-2026-09-30-SPY-rebalance</t>
        </is>
      </c>
    </row>
    <row r="19">
      <c r="A19" s="2" t="inlineStr">
        <is>
          <t>2026-09-30</t>
        </is>
      </c>
      <c r="B19" s="2" t="inlineStr">
        <is>
          <t>2026-10-01</t>
        </is>
      </c>
      <c r="C19" s="2" t="inlineStr">
        <is>
          <t>STZ</t>
        </is>
      </c>
      <c r="D19" s="2" t="inlineStr">
        <is>
          <t>rebalance</t>
        </is>
      </c>
      <c r="E19" s="2" t="inlineStr">
        <is>
          <t>sell</t>
        </is>
      </c>
      <c r="F19" s="10" t="n">
        <v>24</v>
      </c>
      <c r="G19" s="10" t="n">
        <v>5</v>
      </c>
      <c r="H19" s="2" t="inlineStr">
        <is>
          <t>market-on-close</t>
        </is>
      </c>
      <c r="I19" s="5" t="n">
        <v>112.85</v>
      </c>
      <c r="J19" s="2" t="inlineStr">
        <is>
          <t>expired</t>
        </is>
      </c>
      <c r="K19" s="5" t="n">
        <v>112.95</v>
      </c>
      <c r="L19" s="5" t="n">
        <v>112.9899978637695</v>
      </c>
      <c r="M19" s="11" t="n">
        <v>3.539947298498713</v>
      </c>
      <c r="N19" s="10">
        <f>IFERROR(G19*IF(K19&lt;&gt;"",K19,I19),"")</f>
        <v/>
      </c>
      <c r="O19" s="2" t="inlineStr">
        <is>
          <t>fund-2026-09-30-STZ-rebalance</t>
        </is>
      </c>
    </row>
    <row r="20">
      <c r="A20" s="2" t="inlineStr">
        <is>
          <t>2026-09-30</t>
        </is>
      </c>
      <c r="B20" s="2" t="inlineStr">
        <is>
          <t>2026-10-01</t>
        </is>
      </c>
      <c r="C20" s="2" t="inlineStr">
        <is>
          <t>WBD</t>
        </is>
      </c>
      <c r="D20" s="2" t="inlineStr">
        <is>
          <t>rebalance</t>
        </is>
      </c>
      <c r="E20" s="2" t="inlineStr">
        <is>
          <t>buy</t>
        </is>
      </c>
      <c r="F20" s="10" t="n">
        <v>225</v>
      </c>
      <c r="G20" s="10" t="n">
        <v>0</v>
      </c>
      <c r="H20" s="2" t="inlineStr">
        <is>
          <t>market-on-close</t>
        </is>
      </c>
      <c r="I20" s="5" t="n">
        <v>30.935</v>
      </c>
      <c r="J20" s="2" t="inlineStr">
        <is>
          <t>expired</t>
        </is>
      </c>
      <c r="K20" s="5" t="n"/>
      <c r="L20" s="5" t="n">
        <v>30.95000076293945</v>
      </c>
      <c r="M20" s="11" t="n"/>
      <c r="N20" s="10">
        <f>IFERROR(G20*IF(K20&lt;&gt;"",K20,I20),"")</f>
        <v/>
      </c>
      <c r="O20" s="2" t="inlineStr">
        <is>
          <t>fund-2026-09-30-WBD-rebalance</t>
        </is>
      </c>
    </row>
    <row r="21">
      <c r="A21" s="2" t="inlineStr">
        <is>
          <t>2026-09-30</t>
        </is>
      </c>
      <c r="B21" s="2" t="inlineStr">
        <is>
          <t>2026-10-01</t>
        </is>
      </c>
      <c r="C21" s="2" t="inlineStr">
        <is>
          <t>WMT</t>
        </is>
      </c>
      <c r="D21" s="2" t="inlineStr">
        <is>
          <t>rebalance</t>
        </is>
      </c>
      <c r="E21" s="2" t="inlineStr">
        <is>
          <t>sell</t>
        </is>
      </c>
      <c r="F21" s="10" t="n">
        <v>24</v>
      </c>
      <c r="G21" s="10" t="n">
        <v>0</v>
      </c>
      <c r="H21" s="2" t="inlineStr">
        <is>
          <t>market-on-close</t>
        </is>
      </c>
      <c r="I21" s="5" t="n">
        <v>104.79</v>
      </c>
      <c r="J21" s="2" t="inlineStr">
        <is>
          <t>expired</t>
        </is>
      </c>
      <c r="K21" s="5" t="n"/>
      <c r="L21" s="5" t="n">
        <v>104.2600021362305</v>
      </c>
      <c r="M21" s="11" t="n"/>
      <c r="N21" s="10">
        <f>IFERROR(G21*IF(K21&lt;&gt;"",K21,I21),"")</f>
        <v/>
      </c>
      <c r="O21" s="2" t="inlineStr">
        <is>
          <t>fund-2026-09-30-WMT-rebalance</t>
        </is>
      </c>
    </row>
    <row r="22">
      <c r="A22" s="2" t="inlineStr">
        <is>
          <t>2026-09-30</t>
        </is>
      </c>
      <c r="B22" s="2" t="inlineStr">
        <is>
          <t>2026-10-07</t>
        </is>
      </c>
      <c r="C22" s="2" t="inlineStr">
        <is>
          <t>MU</t>
        </is>
      </c>
      <c r="D22" s="2" t="inlineStr">
        <is>
          <t>review-reduce</t>
        </is>
      </c>
      <c r="E22" s="2" t="inlineStr">
        <is>
          <t>sell</t>
        </is>
      </c>
      <c r="F22" s="10" t="n">
        <v>1</v>
      </c>
      <c r="G22" s="10" t="n">
        <v>1</v>
      </c>
      <c r="H22" s="2" t="inlineStr">
        <is>
          <t>market-on-close (daily review)</t>
        </is>
      </c>
      <c r="I22" s="5" t="n">
        <v>1086.89</v>
      </c>
      <c r="J22" s="2" t="inlineStr">
        <is>
          <t>filled</t>
        </is>
      </c>
      <c r="K22" s="5" t="n">
        <v>1086.75</v>
      </c>
      <c r="L22" s="5" t="n">
        <v>1088</v>
      </c>
      <c r="M22" s="11" t="n">
        <v>11.48897058823484</v>
      </c>
      <c r="N22" s="10">
        <f>IFERROR(G22*IF(K22&lt;&gt;"",K22,I22),"")</f>
        <v/>
      </c>
      <c r="O22" s="2" t="inlineStr">
        <is>
          <t>fund-2026-09-30-MU-r20261007</t>
        </is>
      </c>
    </row>
    <row r="23">
      <c r="A23" s="2" t="inlineStr">
        <is>
          <t>2026-09-30</t>
        </is>
      </c>
      <c r="B23" s="2" t="inlineStr">
        <is>
          <t>2026-10-07</t>
        </is>
      </c>
      <c r="C23" s="2" t="inlineStr">
        <is>
          <t>STZ</t>
        </is>
      </c>
      <c r="D23" s="2" t="inlineStr">
        <is>
          <t>review-exit</t>
        </is>
      </c>
      <c r="E23" s="2" t="inlineStr">
        <is>
          <t>buy</t>
        </is>
      </c>
      <c r="F23" s="10" t="n">
        <v>5</v>
      </c>
      <c r="G23" s="10" t="n">
        <v>5</v>
      </c>
      <c r="H23" s="2" t="inlineStr">
        <is>
          <t>market-on-close (daily review)</t>
        </is>
      </c>
      <c r="I23" s="5" t="n">
        <v>117.985</v>
      </c>
      <c r="J23" s="2" t="inlineStr">
        <is>
          <t>filled</t>
        </is>
      </c>
      <c r="K23" s="5" t="n">
        <v>118.22</v>
      </c>
      <c r="L23" s="5" t="n">
        <v>118.3899993896484</v>
      </c>
      <c r="M23" s="11" t="n">
        <v>-14.35926940829946</v>
      </c>
      <c r="N23" s="10">
        <f>IFERROR(G23*IF(K23&lt;&gt;"",K23,I23),"")</f>
        <v/>
      </c>
      <c r="O23" s="2" t="inlineStr">
        <is>
          <t>fund-2026-09-30-STZ-r20261007</t>
        </is>
      </c>
    </row>
    <row r="24">
      <c r="A24" s="2" t="inlineStr">
        <is>
          <t>2026-09-30</t>
        </is>
      </c>
      <c r="B24" s="2" t="inlineStr">
        <is>
          <t>2026-10-07</t>
        </is>
      </c>
      <c r="C24" s="2" t="inlineStr">
        <is>
          <t>SPY</t>
        </is>
      </c>
      <c r="D24" s="2" t="inlineStr">
        <is>
          <t>review-rehedge</t>
        </is>
      </c>
      <c r="E24" s="2" t="inlineStr">
        <is>
          <t>sell</t>
        </is>
      </c>
      <c r="F24" s="10" t="n">
        <v>1</v>
      </c>
      <c r="G24" s="10" t="n">
        <v>1</v>
      </c>
      <c r="H24" s="2" t="inlineStr">
        <is>
          <t>market-on-close (daily review)</t>
        </is>
      </c>
      <c r="I24" s="5" t="n">
        <v>777.515</v>
      </c>
      <c r="J24" s="2" t="inlineStr">
        <is>
          <t>filled</t>
        </is>
      </c>
      <c r="K24" s="5" t="n">
        <v>777.3</v>
      </c>
      <c r="L24" s="5" t="n">
        <v>777.219970703125</v>
      </c>
      <c r="M24" s="11" t="n">
        <v>-1.029686573834621</v>
      </c>
      <c r="N24" s="10">
        <f>IFERROR(G24*IF(K24&lt;&gt;"",K24,I24),"")</f>
        <v/>
      </c>
      <c r="O24" s="2" t="inlineStr">
        <is>
          <t>fund-2026-09-30-SPY-r20261007</t>
        </is>
      </c>
    </row>
    <row r="25">
      <c r="A25" s="2" t="inlineStr">
        <is>
          <t>2026-10-07</t>
        </is>
      </c>
      <c r="B25" s="2" t="inlineStr">
        <is>
          <t>2026-10-08</t>
        </is>
      </c>
      <c r="C25" s="2" t="inlineStr">
        <is>
          <t>AMD</t>
        </is>
      </c>
      <c r="D25" s="2" t="inlineStr">
        <is>
          <t>rebalance</t>
        </is>
      </c>
      <c r="E25" s="2" t="inlineStr">
        <is>
          <t>buy</t>
        </is>
      </c>
      <c r="F25" s="10" t="n">
        <v>4</v>
      </c>
      <c r="G25" s="10" t="n">
        <v>4</v>
      </c>
      <c r="H25" s="2" t="inlineStr">
        <is>
          <t>market, last minute before the close</t>
        </is>
      </c>
      <c r="I25" s="5" t="n">
        <v>620.67</v>
      </c>
      <c r="J25" s="2" t="inlineStr">
        <is>
          <t>filled</t>
        </is>
      </c>
      <c r="K25" s="5" t="n">
        <v>621.12</v>
      </c>
      <c r="L25" s="5" t="n">
        <v>620.6799926757812</v>
      </c>
      <c r="M25" s="11" t="n">
        <v>7.089117249001742</v>
      </c>
      <c r="N25" s="10">
        <f>IFERROR(G25*IF(K25&lt;&gt;"",K25,I25),"")</f>
        <v/>
      </c>
      <c r="O25" s="2" t="inlineStr">
        <is>
          <t>fund-2026-10-07-AMD-rebalance</t>
        </is>
      </c>
    </row>
    <row r="26">
      <c r="A26" s="2" t="inlineStr">
        <is>
          <t>2026-10-07</t>
        </is>
      </c>
      <c r="B26" s="2" t="inlineStr">
        <is>
          <t>2026-10-08</t>
        </is>
      </c>
      <c r="C26" s="2" t="inlineStr">
        <is>
          <t>AVGO</t>
        </is>
      </c>
      <c r="D26" s="2" t="inlineStr">
        <is>
          <t>rebalance</t>
        </is>
      </c>
      <c r="E26" s="2" t="inlineStr">
        <is>
          <t>buy</t>
        </is>
      </c>
      <c r="F26" s="10" t="n">
        <v>7</v>
      </c>
      <c r="G26" s="10" t="n">
        <v>7</v>
      </c>
      <c r="H26" s="2" t="inlineStr">
        <is>
          <t>market, last minute before the close</t>
        </is>
      </c>
      <c r="I26" s="5" t="n">
        <v>359.88</v>
      </c>
      <c r="J26" s="2" t="inlineStr">
        <is>
          <t>filled</t>
        </is>
      </c>
      <c r="K26" s="5" t="n">
        <v>360.361429</v>
      </c>
      <c r="L26" s="5" t="n">
        <v>360.1400146484375</v>
      </c>
      <c r="M26" s="11" t="n">
        <v>6.148007512540854</v>
      </c>
      <c r="N26" s="10">
        <f>IFERROR(G26*IF(K26&lt;&gt;"",K26,I26),"")</f>
        <v/>
      </c>
      <c r="O26" s="2" t="inlineStr">
        <is>
          <t>fund-2026-10-07-AVGO-rebalance</t>
        </is>
      </c>
    </row>
    <row r="27">
      <c r="A27" s="2" t="inlineStr">
        <is>
          <t>2026-10-07</t>
        </is>
      </c>
      <c r="B27" s="2" t="inlineStr">
        <is>
          <t>2026-10-08</t>
        </is>
      </c>
      <c r="C27" s="2" t="inlineStr">
        <is>
          <t>BA</t>
        </is>
      </c>
      <c r="D27" s="2" t="inlineStr">
        <is>
          <t>rebalance</t>
        </is>
      </c>
      <c r="E27" s="2" t="inlineStr">
        <is>
          <t>buy</t>
        </is>
      </c>
      <c r="F27" s="10" t="n">
        <v>33</v>
      </c>
      <c r="G27" s="10" t="n">
        <v>33</v>
      </c>
      <c r="H27" s="2" t="inlineStr">
        <is>
          <t>market, last minute before the close</t>
        </is>
      </c>
      <c r="I27" s="5" t="n">
        <v>187.495</v>
      </c>
      <c r="J27" s="2" t="inlineStr">
        <is>
          <t>filled</t>
        </is>
      </c>
      <c r="K27" s="5" t="n">
        <v>187.69</v>
      </c>
      <c r="L27" s="5" t="n">
        <v>187.75</v>
      </c>
      <c r="M27" s="11" t="n">
        <v>-3.195739014647536</v>
      </c>
      <c r="N27" s="10">
        <f>IFERROR(G27*IF(K27&lt;&gt;"",K27,I27),"")</f>
        <v/>
      </c>
      <c r="O27" s="2" t="inlineStr">
        <is>
          <t>fund-2026-10-07-BA-rebalance</t>
        </is>
      </c>
    </row>
    <row r="28">
      <c r="A28" s="2" t="inlineStr">
        <is>
          <t>2026-10-07</t>
        </is>
      </c>
      <c r="B28" s="2" t="inlineStr">
        <is>
          <t>2026-10-08</t>
        </is>
      </c>
      <c r="C28" s="2" t="inlineStr">
        <is>
          <t>CEG</t>
        </is>
      </c>
      <c r="D28" s="2" t="inlineStr">
        <is>
          <t>rebalance</t>
        </is>
      </c>
      <c r="E28" s="2" t="inlineStr">
        <is>
          <t>buy</t>
        </is>
      </c>
      <c r="F28" s="10" t="n">
        <v>10</v>
      </c>
      <c r="G28" s="10" t="n">
        <v>10</v>
      </c>
      <c r="H28" s="2" t="inlineStr">
        <is>
          <t>market, last minute before the close</t>
        </is>
      </c>
      <c r="I28" s="5" t="n">
        <v>285.09</v>
      </c>
      <c r="J28" s="2" t="inlineStr">
        <is>
          <t>filled</t>
        </is>
      </c>
      <c r="K28" s="5" t="n">
        <v>285.07</v>
      </c>
      <c r="L28" s="5" t="n">
        <v>285.0700073242188</v>
      </c>
      <c r="M28" s="11" t="n">
        <v>-0.0002569270207697</v>
      </c>
      <c r="N28" s="10">
        <f>IFERROR(G28*IF(K28&lt;&gt;"",K28,I28),"")</f>
        <v/>
      </c>
      <c r="O28" s="2" t="inlineStr">
        <is>
          <t>fund-2026-10-07-CEG-rebalance</t>
        </is>
      </c>
    </row>
    <row r="29">
      <c r="A29" s="2" t="inlineStr">
        <is>
          <t>2026-10-07</t>
        </is>
      </c>
      <c r="B29" s="2" t="inlineStr">
        <is>
          <t>2026-10-08</t>
        </is>
      </c>
      <c r="C29" s="2" t="inlineStr">
        <is>
          <t>GEV</t>
        </is>
      </c>
      <c r="D29" s="2" t="inlineStr">
        <is>
          <t>close</t>
        </is>
      </c>
      <c r="E29" s="2" t="inlineStr">
        <is>
          <t>sell</t>
        </is>
      </c>
      <c r="F29" s="10" t="n">
        <v>2</v>
      </c>
      <c r="G29" s="10" t="n">
        <v>2</v>
      </c>
      <c r="H29" s="2" t="inlineStr">
        <is>
          <t>market, last minute before the close</t>
        </is>
      </c>
      <c r="I29" s="5" t="n">
        <v>997.96</v>
      </c>
      <c r="J29" s="2" t="inlineStr">
        <is>
          <t>filled</t>
        </is>
      </c>
      <c r="K29" s="5" t="n">
        <v>998.54</v>
      </c>
      <c r="L29" s="5" t="n">
        <v>999.3499755859376</v>
      </c>
      <c r="M29" s="11" t="n">
        <v>8.105024323061816</v>
      </c>
      <c r="N29" s="10">
        <f>IFERROR(G29*IF(K29&lt;&gt;"",K29,I29),"")</f>
        <v/>
      </c>
      <c r="O29" s="2" t="inlineStr">
        <is>
          <t>fund-2026-10-07-GEV-close</t>
        </is>
      </c>
    </row>
    <row r="30">
      <c r="A30" s="2" t="inlineStr">
        <is>
          <t>2026-10-07</t>
        </is>
      </c>
      <c r="B30" s="2" t="inlineStr">
        <is>
          <t>2026-10-08</t>
        </is>
      </c>
      <c r="C30" s="2" t="inlineStr">
        <is>
          <t>GOOGL</t>
        </is>
      </c>
      <c r="D30" s="2" t="inlineStr">
        <is>
          <t>rebalance</t>
        </is>
      </c>
      <c r="E30" s="2" t="inlineStr">
        <is>
          <t>buy</t>
        </is>
      </c>
      <c r="F30" s="10" t="n">
        <v>9</v>
      </c>
      <c r="G30" s="10" t="n">
        <v>9</v>
      </c>
      <c r="H30" s="2" t="inlineStr">
        <is>
          <t>market, last minute before the close</t>
        </is>
      </c>
      <c r="I30" s="5" t="n">
        <v>348.065</v>
      </c>
      <c r="J30" s="2" t="inlineStr">
        <is>
          <t>filled</t>
        </is>
      </c>
      <c r="K30" s="5" t="n">
        <v>348.411111</v>
      </c>
      <c r="L30" s="5" t="n">
        <v>348.2900085449219</v>
      </c>
      <c r="M30" s="11" t="n">
        <v>3.477057972005593</v>
      </c>
      <c r="N30" s="10">
        <f>IFERROR(G30*IF(K30&lt;&gt;"",K30,I30),"")</f>
        <v/>
      </c>
      <c r="O30" s="2" t="inlineStr">
        <is>
          <t>fund-2026-10-07-GOOGL-rebalance</t>
        </is>
      </c>
    </row>
    <row r="31">
      <c r="A31" s="2" t="inlineStr">
        <is>
          <t>2026-10-07</t>
        </is>
      </c>
      <c r="B31" s="2" t="inlineStr">
        <is>
          <t>2026-10-08</t>
        </is>
      </c>
      <c r="C31" s="2" t="inlineStr">
        <is>
          <t>HPE</t>
        </is>
      </c>
      <c r="D31" s="2" t="inlineStr">
        <is>
          <t>rebalance</t>
        </is>
      </c>
      <c r="E31" s="2" t="inlineStr">
        <is>
          <t>buy</t>
        </is>
      </c>
      <c r="F31" s="10" t="n">
        <v>40</v>
      </c>
      <c r="G31" s="10" t="n">
        <v>40</v>
      </c>
      <c r="H31" s="2" t="inlineStr">
        <is>
          <t>market, last minute before the close</t>
        </is>
      </c>
      <c r="I31" s="5" t="n">
        <v>70.95</v>
      </c>
      <c r="J31" s="2" t="inlineStr">
        <is>
          <t>filled</t>
        </is>
      </c>
      <c r="K31" s="5" t="n">
        <v>70.92</v>
      </c>
      <c r="L31" s="5" t="n">
        <v>71</v>
      </c>
      <c r="M31" s="11" t="n">
        <v>-11.26760563380236</v>
      </c>
      <c r="N31" s="10">
        <f>IFERROR(G31*IF(K31&lt;&gt;"",K31,I31),"")</f>
        <v/>
      </c>
      <c r="O31" s="2" t="inlineStr">
        <is>
          <t>fund-2026-10-07-HPE-rebalance</t>
        </is>
      </c>
    </row>
    <row r="32">
      <c r="A32" s="2" t="inlineStr">
        <is>
          <t>2026-10-07</t>
        </is>
      </c>
      <c r="B32" s="2" t="inlineStr">
        <is>
          <t>2026-10-08</t>
        </is>
      </c>
      <c r="C32" s="2" t="inlineStr">
        <is>
          <t>LITE</t>
        </is>
      </c>
      <c r="D32" s="2" t="inlineStr">
        <is>
          <t>rebalance</t>
        </is>
      </c>
      <c r="E32" s="2" t="inlineStr">
        <is>
          <t>buy</t>
        </is>
      </c>
      <c r="F32" s="10" t="n">
        <v>3</v>
      </c>
      <c r="G32" s="10" t="n">
        <v>3</v>
      </c>
      <c r="H32" s="2" t="inlineStr">
        <is>
          <t>market, last minute before the close</t>
        </is>
      </c>
      <c r="I32" s="5" t="n">
        <v>1048.47</v>
      </c>
      <c r="J32" s="2" t="inlineStr">
        <is>
          <t>filled</t>
        </is>
      </c>
      <c r="K32" s="5" t="n">
        <v>1050.046667</v>
      </c>
      <c r="L32" s="5" t="n">
        <v>1048.599975585938</v>
      </c>
      <c r="M32" s="11" t="n">
        <v>13.79640900004864</v>
      </c>
      <c r="N32" s="10">
        <f>IFERROR(G32*IF(K32&lt;&gt;"",K32,I32),"")</f>
        <v/>
      </c>
      <c r="O32" s="2" t="inlineStr">
        <is>
          <t>fund-2026-10-07-LITE-rebalance</t>
        </is>
      </c>
    </row>
    <row r="33">
      <c r="A33" s="2" t="inlineStr">
        <is>
          <t>2026-10-07</t>
        </is>
      </c>
      <c r="B33" s="2" t="inlineStr">
        <is>
          <t>2026-10-08</t>
        </is>
      </c>
      <c r="C33" s="2" t="inlineStr">
        <is>
          <t>LLY</t>
        </is>
      </c>
      <c r="D33" s="2" t="inlineStr">
        <is>
          <t>rebalance</t>
        </is>
      </c>
      <c r="E33" s="2" t="inlineStr">
        <is>
          <t>buy</t>
        </is>
      </c>
      <c r="F33" s="10" t="n">
        <v>2</v>
      </c>
      <c r="G33" s="10" t="n">
        <v>2</v>
      </c>
      <c r="H33" s="2" t="inlineStr">
        <is>
          <t>market, last minute before the close</t>
        </is>
      </c>
      <c r="I33" s="5" t="n">
        <v>1168.87</v>
      </c>
      <c r="J33" s="2" t="inlineStr">
        <is>
          <t>filled</t>
        </is>
      </c>
      <c r="K33" s="5" t="n">
        <v>1170.25</v>
      </c>
      <c r="L33" s="5" t="n">
        <v>1169.599975585938</v>
      </c>
      <c r="M33" s="11" t="n">
        <v>5.557664394930661</v>
      </c>
      <c r="N33" s="10">
        <f>IFERROR(G33*IF(K33&lt;&gt;"",K33,I33),"")</f>
        <v/>
      </c>
      <c r="O33" s="2" t="inlineStr">
        <is>
          <t>fund-2026-10-07-LLY-rebalance</t>
        </is>
      </c>
    </row>
    <row r="34">
      <c r="A34" s="2" t="inlineStr">
        <is>
          <t>2026-10-07</t>
        </is>
      </c>
      <c r="B34" s="2" t="inlineStr">
        <is>
          <t>2026-10-08</t>
        </is>
      </c>
      <c r="C34" s="2" t="inlineStr">
        <is>
          <t>LULU</t>
        </is>
      </c>
      <c r="D34" s="2" t="inlineStr">
        <is>
          <t>rebalance</t>
        </is>
      </c>
      <c r="E34" s="2" t="inlineStr">
        <is>
          <t>sell</t>
        </is>
      </c>
      <c r="F34" s="10" t="n">
        <v>5</v>
      </c>
      <c r="G34" s="10" t="n">
        <v>5</v>
      </c>
      <c r="H34" s="2" t="inlineStr">
        <is>
          <t>market, last minute before the close</t>
        </is>
      </c>
      <c r="I34" s="5" t="n">
        <v>92.70999999999999</v>
      </c>
      <c r="J34" s="2" t="inlineStr">
        <is>
          <t>filled</t>
        </is>
      </c>
      <c r="K34" s="5" t="n">
        <v>92.70999999999999</v>
      </c>
      <c r="L34" s="5" t="n">
        <v>92.68000030517578</v>
      </c>
      <c r="M34" s="11" t="n">
        <v>-3.236911385997576</v>
      </c>
      <c r="N34" s="10">
        <f>IFERROR(G34*IF(K34&lt;&gt;"",K34,I34),"")</f>
        <v/>
      </c>
      <c r="O34" s="2" t="inlineStr">
        <is>
          <t>fund-2026-10-07-LULU-rebalance</t>
        </is>
      </c>
    </row>
    <row r="35">
      <c r="A35" s="2" t="inlineStr">
        <is>
          <t>2026-10-07</t>
        </is>
      </c>
      <c r="B35" s="2" t="inlineStr">
        <is>
          <t>2026-10-08</t>
        </is>
      </c>
      <c r="C35" s="2" t="inlineStr">
        <is>
          <t>MCD</t>
        </is>
      </c>
      <c r="D35" s="2" t="inlineStr">
        <is>
          <t>rebalance</t>
        </is>
      </c>
      <c r="E35" s="2" t="inlineStr">
        <is>
          <t>sell</t>
        </is>
      </c>
      <c r="F35" s="10" t="n">
        <v>13</v>
      </c>
      <c r="G35" s="10" t="n">
        <v>13</v>
      </c>
      <c r="H35" s="2" t="inlineStr">
        <is>
          <t>market, last minute before the close</t>
        </is>
      </c>
      <c r="I35" s="5" t="n">
        <v>236.49</v>
      </c>
      <c r="J35" s="2" t="inlineStr">
        <is>
          <t>filled</t>
        </is>
      </c>
      <c r="K35" s="5" t="n">
        <v>236.64</v>
      </c>
      <c r="L35" s="5" t="n">
        <v>236.8999938964844</v>
      </c>
      <c r="M35" s="11" t="n">
        <v>10.97483761852702</v>
      </c>
      <c r="N35" s="10">
        <f>IFERROR(G35*IF(K35&lt;&gt;"",K35,I35),"")</f>
        <v/>
      </c>
      <c r="O35" s="2" t="inlineStr">
        <is>
          <t>fund-2026-10-07-MCD-rebalance</t>
        </is>
      </c>
    </row>
    <row r="36">
      <c r="A36" s="2" t="inlineStr">
        <is>
          <t>2026-10-07</t>
        </is>
      </c>
      <c r="B36" s="2" t="inlineStr">
        <is>
          <t>2026-10-08</t>
        </is>
      </c>
      <c r="C36" s="2" t="inlineStr">
        <is>
          <t>META</t>
        </is>
      </c>
      <c r="D36" s="2" t="inlineStr">
        <is>
          <t>rebalance</t>
        </is>
      </c>
      <c r="E36" s="2" t="inlineStr">
        <is>
          <t>sell</t>
        </is>
      </c>
      <c r="F36" s="10" t="n">
        <v>4</v>
      </c>
      <c r="G36" s="10" t="n">
        <v>4</v>
      </c>
      <c r="H36" s="2" t="inlineStr">
        <is>
          <t>market, last minute before the close</t>
        </is>
      </c>
      <c r="I36" s="5" t="n">
        <v>720.39</v>
      </c>
      <c r="J36" s="2" t="inlineStr">
        <is>
          <t>filled</t>
        </is>
      </c>
      <c r="K36" s="5" t="n">
        <v>720.8099999999999</v>
      </c>
      <c r="L36" s="5" t="n">
        <v>720.8900146484375</v>
      </c>
      <c r="M36" s="11" t="n">
        <v>1.109942526761332</v>
      </c>
      <c r="N36" s="10">
        <f>IFERROR(G36*IF(K36&lt;&gt;"",K36,I36),"")</f>
        <v/>
      </c>
      <c r="O36" s="2" t="inlineStr">
        <is>
          <t>fund-2026-10-07-META-rebalance</t>
        </is>
      </c>
    </row>
    <row r="37">
      <c r="A37" s="2" t="inlineStr">
        <is>
          <t>2026-10-07</t>
        </is>
      </c>
      <c r="B37" s="2" t="inlineStr">
        <is>
          <t>2026-10-08</t>
        </is>
      </c>
      <c r="C37" s="2" t="inlineStr">
        <is>
          <t>MRVL</t>
        </is>
      </c>
      <c r="D37" s="2" t="inlineStr">
        <is>
          <t>rebalance</t>
        </is>
      </c>
      <c r="E37" s="2" t="inlineStr">
        <is>
          <t>buy</t>
        </is>
      </c>
      <c r="F37" s="10" t="n">
        <v>23</v>
      </c>
      <c r="G37" s="10" t="n">
        <v>23</v>
      </c>
      <c r="H37" s="2" t="inlineStr">
        <is>
          <t>market, last minute before the close</t>
        </is>
      </c>
      <c r="I37" s="5" t="n">
        <v>274.12</v>
      </c>
      <c r="J37" s="2" t="inlineStr">
        <is>
          <t>filled</t>
        </is>
      </c>
      <c r="K37" s="5" t="n">
        <v>274.618695</v>
      </c>
      <c r="L37" s="5" t="n">
        <v>274.6600036621094</v>
      </c>
      <c r="M37" s="11" t="n">
        <v>-1.50399262938139</v>
      </c>
      <c r="N37" s="10">
        <f>IFERROR(G37*IF(K37&lt;&gt;"",K37,I37),"")</f>
        <v/>
      </c>
      <c r="O37" s="2" t="inlineStr">
        <is>
          <t>fund-2026-10-07-MRVL-rebalance</t>
        </is>
      </c>
    </row>
    <row r="38">
      <c r="A38" s="2" t="inlineStr">
        <is>
          <t>2026-10-07</t>
        </is>
      </c>
      <c r="B38" s="2" t="inlineStr">
        <is>
          <t>2026-10-08</t>
        </is>
      </c>
      <c r="C38" s="2" t="inlineStr">
        <is>
          <t>MU</t>
        </is>
      </c>
      <c r="D38" s="2" t="inlineStr">
        <is>
          <t>close</t>
        </is>
      </c>
      <c r="E38" s="2" t="inlineStr">
        <is>
          <t>sell</t>
        </is>
      </c>
      <c r="F38" s="10" t="n">
        <v>1</v>
      </c>
      <c r="G38" s="10" t="n">
        <v>1</v>
      </c>
      <c r="H38" s="2" t="inlineStr">
        <is>
          <t>market, last minute before the close</t>
        </is>
      </c>
      <c r="I38" s="5" t="n">
        <v>1037.97</v>
      </c>
      <c r="J38" s="2" t="inlineStr">
        <is>
          <t>filled</t>
        </is>
      </c>
      <c r="K38" s="5" t="n">
        <v>1036.16</v>
      </c>
      <c r="L38" s="5" t="n">
        <v>1035.839965820312</v>
      </c>
      <c r="M38" s="11" t="n">
        <v>-3.089610270388121</v>
      </c>
      <c r="N38" s="10">
        <f>IFERROR(G38*IF(K38&lt;&gt;"",K38,I38),"")</f>
        <v/>
      </c>
      <c r="O38" s="2" t="inlineStr">
        <is>
          <t>fund-2026-10-07-MU-close</t>
        </is>
      </c>
    </row>
    <row r="39">
      <c r="A39" s="2" t="inlineStr">
        <is>
          <t>2026-10-07</t>
        </is>
      </c>
      <c r="B39" s="2" t="inlineStr">
        <is>
          <t>2026-10-08</t>
        </is>
      </c>
      <c r="C39" s="2" t="inlineStr">
        <is>
          <t>NFLX</t>
        </is>
      </c>
      <c r="D39" s="2" t="inlineStr">
        <is>
          <t>close</t>
        </is>
      </c>
      <c r="E39" s="2" t="inlineStr">
        <is>
          <t>sell</t>
        </is>
      </c>
      <c r="F39" s="10" t="n">
        <v>24</v>
      </c>
      <c r="G39" s="10" t="n">
        <v>24</v>
      </c>
      <c r="H39" s="2" t="inlineStr">
        <is>
          <t>market, last minute before the close</t>
        </is>
      </c>
      <c r="I39" s="5" t="n">
        <v>71.58</v>
      </c>
      <c r="J39" s="2" t="inlineStr">
        <is>
          <t>filled</t>
        </is>
      </c>
      <c r="K39" s="5" t="n">
        <v>71.59</v>
      </c>
      <c r="L39" s="5" t="n">
        <v>71.56999969482422</v>
      </c>
      <c r="M39" s="11" t="n">
        <v>-2.794509607526585</v>
      </c>
      <c r="N39" s="10">
        <f>IFERROR(G39*IF(K39&lt;&gt;"",K39,I39),"")</f>
        <v/>
      </c>
      <c r="O39" s="2" t="inlineStr">
        <is>
          <t>fund-2026-10-07-NFLX-close</t>
        </is>
      </c>
    </row>
    <row r="40">
      <c r="A40" s="2" t="inlineStr">
        <is>
          <t>2026-10-07</t>
        </is>
      </c>
      <c r="B40" s="2" t="inlineStr">
        <is>
          <t>2026-10-08</t>
        </is>
      </c>
      <c r="C40" s="2" t="inlineStr">
        <is>
          <t>NKE</t>
        </is>
      </c>
      <c r="D40" s="2" t="inlineStr">
        <is>
          <t>rebalance</t>
        </is>
      </c>
      <c r="E40" s="2" t="inlineStr">
        <is>
          <t>sell</t>
        </is>
      </c>
      <c r="F40" s="10" t="n">
        <v>187</v>
      </c>
      <c r="G40" s="10" t="n">
        <v>187</v>
      </c>
      <c r="H40" s="2" t="inlineStr">
        <is>
          <t>market, last minute before the close</t>
        </is>
      </c>
      <c r="I40" s="5" t="n">
        <v>34.75</v>
      </c>
      <c r="J40" s="2" t="inlineStr">
        <is>
          <t>filled</t>
        </is>
      </c>
      <c r="K40" s="5" t="n">
        <v>34.761176</v>
      </c>
      <c r="L40" s="5" t="n">
        <v>34.7400016784668</v>
      </c>
      <c r="M40" s="11" t="n">
        <v>-6.095083624111375</v>
      </c>
      <c r="N40" s="10">
        <f>IFERROR(G40*IF(K40&lt;&gt;"",K40,I40),"")</f>
        <v/>
      </c>
      <c r="O40" s="2" t="inlineStr">
        <is>
          <t>fund-2026-10-07-NKE-rebalance</t>
        </is>
      </c>
    </row>
    <row r="41">
      <c r="A41" s="2" t="inlineStr">
        <is>
          <t>2026-10-07</t>
        </is>
      </c>
      <c r="B41" s="2" t="inlineStr">
        <is>
          <t>2026-10-08</t>
        </is>
      </c>
      <c r="C41" s="2" t="inlineStr">
        <is>
          <t>NVDA</t>
        </is>
      </c>
      <c r="D41" s="2" t="inlineStr">
        <is>
          <t>rebalance</t>
        </is>
      </c>
      <c r="E41" s="2" t="inlineStr">
        <is>
          <t>buy</t>
        </is>
      </c>
      <c r="F41" s="10" t="n">
        <v>14</v>
      </c>
      <c r="G41" s="10" t="n">
        <v>14</v>
      </c>
      <c r="H41" s="2" t="inlineStr">
        <is>
          <t>market, last minute before the close</t>
        </is>
      </c>
      <c r="I41" s="5" t="n">
        <v>230.56</v>
      </c>
      <c r="J41" s="2" t="inlineStr">
        <is>
          <t>filled</t>
        </is>
      </c>
      <c r="K41" s="5" t="n">
        <v>230.494286</v>
      </c>
      <c r="L41" s="5" t="n">
        <v>230.479995727539</v>
      </c>
      <c r="M41" s="11" t="n">
        <v>0.6200222460006621</v>
      </c>
      <c r="N41" s="10">
        <f>IFERROR(G41*IF(K41&lt;&gt;"",K41,I41),"")</f>
        <v/>
      </c>
      <c r="O41" s="2" t="inlineStr">
        <is>
          <t>fund-2026-10-07-NVDA-rebalance</t>
        </is>
      </c>
    </row>
    <row r="42">
      <c r="A42" s="2" t="inlineStr">
        <is>
          <t>2026-10-07</t>
        </is>
      </c>
      <c r="B42" s="2" t="inlineStr">
        <is>
          <t>2026-10-08</t>
        </is>
      </c>
      <c r="C42" s="2" t="inlineStr">
        <is>
          <t>PEP</t>
        </is>
      </c>
      <c r="D42" s="2" t="inlineStr">
        <is>
          <t>rebalance</t>
        </is>
      </c>
      <c r="E42" s="2" t="inlineStr">
        <is>
          <t>sell</t>
        </is>
      </c>
      <c r="F42" s="10" t="n">
        <v>16</v>
      </c>
      <c r="G42" s="10" t="n">
        <v>16</v>
      </c>
      <c r="H42" s="2" t="inlineStr">
        <is>
          <t>market, last minute before the close</t>
        </is>
      </c>
      <c r="I42" s="5" t="n">
        <v>127.9</v>
      </c>
      <c r="J42" s="2" t="inlineStr">
        <is>
          <t>filled</t>
        </is>
      </c>
      <c r="K42" s="5" t="n">
        <v>128.19</v>
      </c>
      <c r="L42" s="5" t="n">
        <v>128.3399963378906</v>
      </c>
      <c r="M42" s="11" t="n">
        <v>11.68741952397467</v>
      </c>
      <c r="N42" s="10">
        <f>IFERROR(G42*IF(K42&lt;&gt;"",K42,I42),"")</f>
        <v/>
      </c>
      <c r="O42" s="2" t="inlineStr">
        <is>
          <t>fund-2026-10-07-PEP-rebalance</t>
        </is>
      </c>
    </row>
    <row r="43">
      <c r="A43" s="2" t="inlineStr">
        <is>
          <t>2026-10-07</t>
        </is>
      </c>
      <c r="B43" s="2" t="inlineStr">
        <is>
          <t>2026-10-08</t>
        </is>
      </c>
      <c r="C43" s="2" t="inlineStr">
        <is>
          <t>SNDK</t>
        </is>
      </c>
      <c r="D43" s="2" t="inlineStr">
        <is>
          <t>rebalance</t>
        </is>
      </c>
      <c r="E43" s="2" t="inlineStr">
        <is>
          <t>sell</t>
        </is>
      </c>
      <c r="F43" s="10" t="n">
        <v>1</v>
      </c>
      <c r="G43" s="10" t="n">
        <v>1</v>
      </c>
      <c r="H43" s="2" t="inlineStr">
        <is>
          <t>market, last minute before the close</t>
        </is>
      </c>
      <c r="I43" s="5" t="n">
        <v>1611.79</v>
      </c>
      <c r="J43" s="2" t="inlineStr">
        <is>
          <t>filled</t>
        </is>
      </c>
      <c r="K43" s="5" t="n">
        <v>1609.49</v>
      </c>
      <c r="L43" s="5" t="n">
        <v>1609.4599609375</v>
      </c>
      <c r="M43" s="11" t="n">
        <v>-0.1866406324424474</v>
      </c>
      <c r="N43" s="10">
        <f>IFERROR(G43*IF(K43&lt;&gt;"",K43,I43),"")</f>
        <v/>
      </c>
      <c r="O43" s="2" t="inlineStr">
        <is>
          <t>fund-2026-10-07-SNDK-rebalance</t>
        </is>
      </c>
    </row>
    <row r="44">
      <c r="A44" s="2" t="inlineStr">
        <is>
          <t>2026-10-07</t>
        </is>
      </c>
      <c r="B44" s="2" t="inlineStr">
        <is>
          <t>2026-10-08</t>
        </is>
      </c>
      <c r="C44" s="2" t="inlineStr">
        <is>
          <t>SPY</t>
        </is>
      </c>
      <c r="D44" s="2" t="inlineStr">
        <is>
          <t>rebalance</t>
        </is>
      </c>
      <c r="E44" s="2" t="inlineStr">
        <is>
          <t>sell</t>
        </is>
      </c>
      <c r="F44" s="10" t="n">
        <v>28</v>
      </c>
      <c r="G44" s="10" t="n">
        <v>28</v>
      </c>
      <c r="H44" s="2" t="inlineStr">
        <is>
          <t>market, last minute before the close</t>
        </is>
      </c>
      <c r="I44" s="5" t="n">
        <v>773.72</v>
      </c>
      <c r="J44" s="2" t="inlineStr">
        <is>
          <t>filled</t>
        </is>
      </c>
      <c r="K44" s="5" t="n">
        <v>773.95</v>
      </c>
      <c r="L44" s="5" t="n">
        <v>773.9299926757812</v>
      </c>
      <c r="M44" s="11" t="n">
        <v>-0.2585159434076445</v>
      </c>
      <c r="N44" s="10">
        <f>IFERROR(G44*IF(K44&lt;&gt;"",K44,I44),"")</f>
        <v/>
      </c>
      <c r="O44" s="2" t="inlineStr">
        <is>
          <t>fund-2026-10-07-SPY-rebalance</t>
        </is>
      </c>
    </row>
    <row r="45">
      <c r="A45" s="2" t="inlineStr">
        <is>
          <t>2026-10-07</t>
        </is>
      </c>
      <c r="B45" s="2" t="inlineStr">
        <is>
          <t>2026-10-08</t>
        </is>
      </c>
      <c r="C45" s="2" t="inlineStr">
        <is>
          <t>STX</t>
        </is>
      </c>
      <c r="D45" s="2" t="inlineStr">
        <is>
          <t>rebalance</t>
        </is>
      </c>
      <c r="E45" s="2" t="inlineStr">
        <is>
          <t>sell</t>
        </is>
      </c>
      <c r="F45" s="10" t="n">
        <v>3</v>
      </c>
      <c r="G45" s="10" t="n">
        <v>3</v>
      </c>
      <c r="H45" s="2" t="inlineStr">
        <is>
          <t>market, last minute before the close</t>
        </is>
      </c>
      <c r="I45" s="5" t="n">
        <v>775.01</v>
      </c>
      <c r="J45" s="2" t="inlineStr">
        <is>
          <t>filled</t>
        </is>
      </c>
      <c r="K45" s="5" t="n">
        <v>775.35</v>
      </c>
      <c r="L45" s="5" t="n">
        <v>774.8250122070312</v>
      </c>
      <c r="M45" s="11" t="n">
        <v>-6.775565898078373</v>
      </c>
      <c r="N45" s="10">
        <f>IFERROR(G45*IF(K45&lt;&gt;"",K45,I45),"")</f>
        <v/>
      </c>
      <c r="O45" s="2" t="inlineStr">
        <is>
          <t>fund-2026-10-07-STX-rebalance</t>
        </is>
      </c>
    </row>
    <row r="46">
      <c r="A46" s="2" t="inlineStr">
        <is>
          <t>2026-10-07</t>
        </is>
      </c>
      <c r="B46" s="2" t="inlineStr">
        <is>
          <t>2026-10-08</t>
        </is>
      </c>
      <c r="C46" s="2" t="inlineStr">
        <is>
          <t>WDC</t>
        </is>
      </c>
      <c r="D46" s="2" t="inlineStr">
        <is>
          <t>rebalance</t>
        </is>
      </c>
      <c r="E46" s="2" t="inlineStr">
        <is>
          <t>sell</t>
        </is>
      </c>
      <c r="F46" s="10" t="n">
        <v>8</v>
      </c>
      <c r="G46" s="10" t="n">
        <v>8</v>
      </c>
      <c r="H46" s="2" t="inlineStr">
        <is>
          <t>market, last minute before the close</t>
        </is>
      </c>
      <c r="I46" s="5" t="n">
        <v>392.75</v>
      </c>
      <c r="J46" s="2" t="inlineStr">
        <is>
          <t>filled</t>
        </is>
      </c>
      <c r="K46" s="5" t="n">
        <v>393.05</v>
      </c>
      <c r="L46" s="5" t="n">
        <v>393.3099975585938</v>
      </c>
      <c r="M46" s="11" t="n">
        <v>6.610499611188203</v>
      </c>
      <c r="N46" s="10">
        <f>IFERROR(G46*IF(K46&lt;&gt;"",K46,I46),"")</f>
        <v/>
      </c>
      <c r="O46" s="2" t="inlineStr">
        <is>
          <t>fund-2026-10-07-WDC-rebalance</t>
        </is>
      </c>
    </row>
    <row r="47">
      <c r="A47" s="2" t="inlineStr">
        <is>
          <t>2026-10-07</t>
        </is>
      </c>
      <c r="B47" s="2" t="inlineStr">
        <is>
          <t>2026-10-09</t>
        </is>
      </c>
      <c r="C47" s="2" t="inlineStr">
        <is>
          <t>AVGO</t>
        </is>
      </c>
      <c r="D47" s="2" t="inlineStr">
        <is>
          <t>review-reduce</t>
        </is>
      </c>
      <c r="E47" s="2" t="inlineStr">
        <is>
          <t>sell</t>
        </is>
      </c>
      <c r="F47" s="10" t="n">
        <v>3</v>
      </c>
      <c r="G47" s="10" t="n">
        <v>3</v>
      </c>
      <c r="H47" s="2" t="inlineStr">
        <is>
          <t>market-on-close (daily review)</t>
        </is>
      </c>
      <c r="I47" s="5" t="n">
        <v>361.66</v>
      </c>
      <c r="J47" s="2" t="inlineStr">
        <is>
          <t>filled</t>
        </is>
      </c>
      <c r="K47" s="5" t="n">
        <v>361.53</v>
      </c>
      <c r="L47" s="5" t="n">
        <v>361.5400085449219</v>
      </c>
      <c r="M47" s="11" t="n">
        <v>0.2768309090372955</v>
      </c>
      <c r="N47" s="10">
        <f>IFERROR(G47*IF(K47&lt;&gt;"",K47,I47),"")</f>
        <v/>
      </c>
      <c r="O47" s="2" t="inlineStr">
        <is>
          <t>fund-2026-10-07-AVGO-r20261009</t>
        </is>
      </c>
    </row>
    <row r="48">
      <c r="A48" s="2" t="inlineStr">
        <is>
          <t>2026-10-07</t>
        </is>
      </c>
      <c r="B48" s="2" t="inlineStr">
        <is>
          <t>2026-10-09</t>
        </is>
      </c>
      <c r="C48" s="2" t="inlineStr">
        <is>
          <t>PEP</t>
        </is>
      </c>
      <c r="D48" s="2" t="inlineStr">
        <is>
          <t>review-reduce</t>
        </is>
      </c>
      <c r="E48" s="2" t="inlineStr">
        <is>
          <t>buy</t>
        </is>
      </c>
      <c r="F48" s="10" t="n">
        <v>8</v>
      </c>
      <c r="G48" s="10" t="n">
        <v>8</v>
      </c>
      <c r="H48" s="2" t="inlineStr">
        <is>
          <t>market-on-close (daily review)</t>
        </is>
      </c>
      <c r="I48" s="5" t="n">
        <v>125.935</v>
      </c>
      <c r="J48" s="2" t="inlineStr">
        <is>
          <t>filled</t>
        </is>
      </c>
      <c r="K48" s="5" t="n">
        <v>125.99375</v>
      </c>
      <c r="L48" s="5" t="n">
        <v>125.9700012207031</v>
      </c>
      <c r="M48" s="11" t="n">
        <v>1.885272609887245</v>
      </c>
      <c r="N48" s="10">
        <f>IFERROR(G48*IF(K48&lt;&gt;"",K48,I48),"")</f>
        <v/>
      </c>
      <c r="O48" s="2" t="inlineStr">
        <is>
          <t>fund-2026-10-07-PEP-r20261009</t>
        </is>
      </c>
    </row>
    <row r="49">
      <c r="A49" s="2" t="inlineStr">
        <is>
          <t>2026-10-07</t>
        </is>
      </c>
      <c r="B49" s="2" t="inlineStr">
        <is>
          <t>2026-10-09</t>
        </is>
      </c>
      <c r="C49" s="2" t="inlineStr">
        <is>
          <t>SNDK</t>
        </is>
      </c>
      <c r="D49" s="2" t="inlineStr">
        <is>
          <t>review-increase</t>
        </is>
      </c>
      <c r="E49" s="2" t="inlineStr">
        <is>
          <t>sell</t>
        </is>
      </c>
      <c r="F49" s="10" t="n">
        <v>1</v>
      </c>
      <c r="G49" s="10" t="n">
        <v>1</v>
      </c>
      <c r="H49" s="2" t="inlineStr">
        <is>
          <t>market-on-close (daily review)</t>
        </is>
      </c>
      <c r="I49" s="5" t="n">
        <v>1582.225</v>
      </c>
      <c r="J49" s="2" t="inlineStr">
        <is>
          <t>filled</t>
        </is>
      </c>
      <c r="K49" s="5" t="n">
        <v>1581.73</v>
      </c>
      <c r="L49" s="5" t="n">
        <v>1581.819946289062</v>
      </c>
      <c r="M49" s="11" t="n">
        <v>0.5686253310532852</v>
      </c>
      <c r="N49" s="10">
        <f>IFERROR(G49*IF(K49&lt;&gt;"",K49,I49),"")</f>
        <v/>
      </c>
      <c r="O49" s="2" t="inlineStr">
        <is>
          <t>fund-2026-10-07-SNDK-r20261009</t>
        </is>
      </c>
    </row>
    <row r="50">
      <c r="A50" s="2" t="inlineStr">
        <is>
          <t>2026-10-07</t>
        </is>
      </c>
      <c r="B50" s="2" t="inlineStr">
        <is>
          <t>2026-10-09</t>
        </is>
      </c>
      <c r="C50" s="2" t="inlineStr">
        <is>
          <t>SPY</t>
        </is>
      </c>
      <c r="D50" s="2" t="inlineStr">
        <is>
          <t>review-rehedge</t>
        </is>
      </c>
      <c r="E50" s="2" t="inlineStr">
        <is>
          <t>buy</t>
        </is>
      </c>
      <c r="F50" s="10" t="n">
        <v>4</v>
      </c>
      <c r="G50" s="10" t="n">
        <v>4</v>
      </c>
      <c r="H50" s="2" t="inlineStr">
        <is>
          <t>market-on-close (daily review)</t>
        </is>
      </c>
      <c r="I50" s="5" t="n">
        <v>778.47</v>
      </c>
      <c r="J50" s="2" t="inlineStr">
        <is>
          <t>filled</t>
        </is>
      </c>
      <c r="K50" s="5" t="n">
        <v>778.28</v>
      </c>
      <c r="L50" s="5" t="n">
        <v>778.5700073242188</v>
      </c>
      <c r="M50" s="11" t="n">
        <v>-3.724871514322325</v>
      </c>
      <c r="N50" s="10">
        <f>IFERROR(G50*IF(K50&lt;&gt;"",K50,I50),"")</f>
        <v/>
      </c>
      <c r="O50" s="2" t="inlineStr">
        <is>
          <t>fund-2026-10-07-SPY-r20261009</t>
        </is>
      </c>
    </row>
    <row r="51">
      <c r="A51" s="2" t="inlineStr">
        <is>
          <t>2026-10-07</t>
        </is>
      </c>
      <c r="B51" s="2" t="inlineStr">
        <is>
          <t>2026-10-13</t>
        </is>
      </c>
      <c r="C51" s="2" t="inlineStr">
        <is>
          <t>AMD</t>
        </is>
      </c>
      <c r="D51" s="2" t="inlineStr">
        <is>
          <t>review-reduce</t>
        </is>
      </c>
      <c r="E51" s="2" t="inlineStr">
        <is>
          <t>sell</t>
        </is>
      </c>
      <c r="F51" s="10" t="n">
        <v>2</v>
      </c>
      <c r="G51" s="10" t="n">
        <v>2</v>
      </c>
      <c r="H51" s="2" t="inlineStr">
        <is>
          <t>market-on-close (daily review)</t>
        </is>
      </c>
      <c r="I51" s="5" t="n">
        <v>604.885</v>
      </c>
      <c r="J51" s="2" t="inlineStr">
        <is>
          <t>filled</t>
        </is>
      </c>
      <c r="K51" s="5" t="n">
        <v>605.795</v>
      </c>
      <c r="L51" s="5" t="n">
        <v>605.530029296875</v>
      </c>
      <c r="M51" s="11" t="n">
        <v>-4.375847444471059</v>
      </c>
      <c r="N51" s="10">
        <f>IFERROR(G51*IF(K51&lt;&gt;"",K51,I51),"")</f>
        <v/>
      </c>
      <c r="O51" s="2" t="inlineStr">
        <is>
          <t>fund-2026-10-07-AMD-r20261013</t>
        </is>
      </c>
    </row>
    <row r="52">
      <c r="A52" s="2" t="inlineStr">
        <is>
          <t>2026-10-07</t>
        </is>
      </c>
      <c r="B52" s="2" t="inlineStr">
        <is>
          <t>2026-10-13</t>
        </is>
      </c>
      <c r="C52" s="2" t="inlineStr">
        <is>
          <t>AVGO</t>
        </is>
      </c>
      <c r="D52" s="2" t="inlineStr">
        <is>
          <t>review-reduce</t>
        </is>
      </c>
      <c r="E52" s="2" t="inlineStr">
        <is>
          <t>sell</t>
        </is>
      </c>
      <c r="F52" s="10" t="n">
        <v>2</v>
      </c>
      <c r="G52" s="10" t="n">
        <v>2</v>
      </c>
      <c r="H52" s="2" t="inlineStr">
        <is>
          <t>market-on-close (daily review)</t>
        </is>
      </c>
      <c r="I52" s="5" t="n">
        <v>357.385</v>
      </c>
      <c r="J52" s="2" t="inlineStr">
        <is>
          <t>filled</t>
        </is>
      </c>
      <c r="K52" s="5" t="n">
        <v>357.595</v>
      </c>
      <c r="L52" s="5" t="n">
        <v>357.3099975585938</v>
      </c>
      <c r="M52" s="11" t="n">
        <v>-7.976335488892872</v>
      </c>
      <c r="N52" s="10">
        <f>IFERROR(G52*IF(K52&lt;&gt;"",K52,I52),"")</f>
        <v/>
      </c>
      <c r="O52" s="2" t="inlineStr">
        <is>
          <t>fund-2026-10-07-AVGO-r20261013</t>
        </is>
      </c>
    </row>
    <row r="53">
      <c r="A53" s="2" t="inlineStr">
        <is>
          <t>2026-10-07</t>
        </is>
      </c>
      <c r="B53" s="2" t="inlineStr">
        <is>
          <t>2026-10-13</t>
        </is>
      </c>
      <c r="C53" s="2" t="inlineStr">
        <is>
          <t>SPY</t>
        </is>
      </c>
      <c r="D53" s="2" t="inlineStr">
        <is>
          <t>review-rehedge</t>
        </is>
      </c>
      <c r="E53" s="2" t="inlineStr">
        <is>
          <t>buy</t>
        </is>
      </c>
      <c r="F53" s="10" t="n">
        <v>6</v>
      </c>
      <c r="G53" s="10" t="n">
        <v>6</v>
      </c>
      <c r="H53" s="2" t="inlineStr">
        <is>
          <t>market-on-close (daily review)</t>
        </is>
      </c>
      <c r="I53" s="5" t="n">
        <v>777.845</v>
      </c>
      <c r="J53" s="2" t="inlineStr">
        <is>
          <t>filled</t>
        </is>
      </c>
      <c r="K53" s="5" t="n">
        <v>777.915</v>
      </c>
      <c r="L53" s="5" t="n">
        <v>778.010009765625</v>
      </c>
      <c r="M53" s="11" t="n">
        <v>-1.221189501837694</v>
      </c>
      <c r="N53" s="10">
        <f>IFERROR(G53*IF(K53&lt;&gt;"",K53,I53),"")</f>
        <v/>
      </c>
      <c r="O53" s="2" t="inlineStr">
        <is>
          <t>fund-2026-10-07-SPY-r20261013</t>
        </is>
      </c>
    </row>
    <row r="54">
      <c r="A54" s="2" t="inlineStr">
        <is>
          <t>2026-10-07</t>
        </is>
      </c>
      <c r="B54" s="2" t="inlineStr">
        <is>
          <t>2026-10-14</t>
        </is>
      </c>
      <c r="C54" s="2" t="inlineStr">
        <is>
          <t>NVDA</t>
        </is>
      </c>
      <c r="D54" s="2" t="inlineStr">
        <is>
          <t>review-reduce</t>
        </is>
      </c>
      <c r="E54" s="2" t="inlineStr">
        <is>
          <t>sell</t>
        </is>
      </c>
      <c r="F54" s="10" t="n">
        <v>7</v>
      </c>
      <c r="G54" s="10" t="n">
        <v>7</v>
      </c>
      <c r="H54" s="2" t="inlineStr">
        <is>
          <t>market-on-close (daily review)</t>
        </is>
      </c>
      <c r="I54" s="5" t="n">
        <v>221.22</v>
      </c>
      <c r="J54" s="2" t="inlineStr">
        <is>
          <t>filled</t>
        </is>
      </c>
      <c r="K54" s="5" t="n">
        <v>221.17</v>
      </c>
      <c r="L54" s="5" t="n">
        <v>221.3000030517578</v>
      </c>
      <c r="M54" s="11" t="n">
        <v>5.87451649186943</v>
      </c>
      <c r="N54" s="10">
        <f>IFERROR(G54*IF(K54&lt;&gt;"",K54,I54),"")</f>
        <v/>
      </c>
      <c r="O54" s="2" t="inlineStr">
        <is>
          <t>fund-2026-10-07-NVDA-r20261014</t>
        </is>
      </c>
    </row>
    <row r="55">
      <c r="A55" s="2" t="inlineStr">
        <is>
          <t>2026-10-07</t>
        </is>
      </c>
      <c r="B55" s="2" t="inlineStr">
        <is>
          <t>2026-10-14</t>
        </is>
      </c>
      <c r="C55" s="2" t="inlineStr">
        <is>
          <t>SPY</t>
        </is>
      </c>
      <c r="D55" s="2" t="inlineStr">
        <is>
          <t>review-rehedge</t>
        </is>
      </c>
      <c r="E55" s="2" t="inlineStr">
        <is>
          <t>buy</t>
        </is>
      </c>
      <c r="F55" s="10" t="n">
        <v>4</v>
      </c>
      <c r="G55" s="10" t="n">
        <v>4</v>
      </c>
      <c r="H55" s="2" t="inlineStr">
        <is>
          <t>market-on-close (daily review)</t>
        </is>
      </c>
      <c r="I55" s="5" t="n">
        <v>769.08</v>
      </c>
      <c r="J55" s="2" t="inlineStr">
        <is>
          <t>filled</t>
        </is>
      </c>
      <c r="K55" s="5" t="n">
        <v>768.885</v>
      </c>
      <c r="L55" s="5" t="n">
        <v>769.5999755859375</v>
      </c>
      <c r="M55" s="11" t="n">
        <v>-9.29022360471321</v>
      </c>
      <c r="N55" s="10">
        <f>IFERROR(G55*IF(K55&lt;&gt;"",K55,I55),"")</f>
        <v/>
      </c>
      <c r="O55" s="2" t="inlineStr">
        <is>
          <t>fund-2026-10-07-SPY-r20261014</t>
        </is>
      </c>
    </row>
    <row r="56">
      <c r="A56" s="2" t="inlineStr">
        <is>
          <t>2026-10-14</t>
        </is>
      </c>
      <c r="B56" s="2" t="inlineStr">
        <is>
          <t>2026-10-15</t>
        </is>
      </c>
      <c r="C56" s="2" t="inlineStr">
        <is>
          <t>AMD</t>
        </is>
      </c>
      <c r="D56" s="2" t="inlineStr">
        <is>
          <t>rebalance</t>
        </is>
      </c>
      <c r="E56" s="2" t="inlineStr">
        <is>
          <t>buy</t>
        </is>
      </c>
      <c r="F56" s="10" t="n">
        <v>4</v>
      </c>
      <c r="G56" s="10" t="n">
        <v>4</v>
      </c>
      <c r="H56" s="2" t="inlineStr">
        <is>
          <t>market, last minute before the close (lifecycle)</t>
        </is>
      </c>
      <c r="I56" s="5" t="n">
        <v>562.42</v>
      </c>
      <c r="J56" s="2" t="inlineStr">
        <is>
          <t>filled</t>
        </is>
      </c>
      <c r="K56" s="5" t="n">
        <v>562.54</v>
      </c>
      <c r="L56" s="5" t="n"/>
      <c r="M56" s="11" t="n"/>
      <c r="N56" s="10">
        <f>IFERROR(G56*IF(K56&lt;&gt;"",K56,I56),"")</f>
        <v/>
      </c>
      <c r="O56" s="2" t="inlineStr">
        <is>
          <t>fund-lc-2026-10-15-AMD-rebalance</t>
        </is>
      </c>
    </row>
    <row r="57">
      <c r="A57" s="2" t="inlineStr">
        <is>
          <t>2026-10-14</t>
        </is>
      </c>
      <c r="B57" s="2" t="inlineStr">
        <is>
          <t>2026-10-15</t>
        </is>
      </c>
      <c r="C57" s="2" t="inlineStr">
        <is>
          <t>AVGO</t>
        </is>
      </c>
      <c r="D57" s="2" t="inlineStr">
        <is>
          <t>close</t>
        </is>
      </c>
      <c r="E57" s="2" t="inlineStr">
        <is>
          <t>sell</t>
        </is>
      </c>
      <c r="F57" s="10" t="n">
        <v>2</v>
      </c>
      <c r="G57" s="10" t="n">
        <v>2</v>
      </c>
      <c r="H57" s="2" t="inlineStr">
        <is>
          <t>market, last minute before the close (lifecycle)</t>
        </is>
      </c>
      <c r="I57" s="5" t="n">
        <v>344</v>
      </c>
      <c r="J57" s="2" t="inlineStr">
        <is>
          <t>filled</t>
        </is>
      </c>
      <c r="K57" s="5" t="n">
        <v>344.42</v>
      </c>
      <c r="L57" s="5" t="n"/>
      <c r="M57" s="11" t="n"/>
      <c r="N57" s="10">
        <f>IFERROR(G57*IF(K57&lt;&gt;"",K57,I57),"")</f>
        <v/>
      </c>
      <c r="O57" s="2" t="inlineStr">
        <is>
          <t>fund-lc-2026-10-15-AVGO-close</t>
        </is>
      </c>
    </row>
    <row r="58">
      <c r="A58" s="2" t="inlineStr">
        <is>
          <t>2026-10-14</t>
        </is>
      </c>
      <c r="B58" s="2" t="inlineStr">
        <is>
          <t>2026-10-15</t>
        </is>
      </c>
      <c r="C58" s="2" t="inlineStr">
        <is>
          <t>BA</t>
        </is>
      </c>
      <c r="D58" s="2" t="inlineStr">
        <is>
          <t>close</t>
        </is>
      </c>
      <c r="E58" s="2" t="inlineStr">
        <is>
          <t>sell</t>
        </is>
      </c>
      <c r="F58" s="10" t="n">
        <v>33</v>
      </c>
      <c r="G58" s="10" t="n">
        <v>33</v>
      </c>
      <c r="H58" s="2" t="inlineStr">
        <is>
          <t>market, last minute before the close (lifecycle)</t>
        </is>
      </c>
      <c r="I58" s="5" t="n">
        <v>188.35</v>
      </c>
      <c r="J58" s="2" t="inlineStr">
        <is>
          <t>filled</t>
        </is>
      </c>
      <c r="K58" s="5" t="n">
        <v>188.498788</v>
      </c>
      <c r="L58" s="5" t="n"/>
      <c r="M58" s="11" t="n"/>
      <c r="N58" s="10">
        <f>IFERROR(G58*IF(K58&lt;&gt;"",K58,I58),"")</f>
        <v/>
      </c>
      <c r="O58" s="2" t="inlineStr">
        <is>
          <t>fund-lc-2026-10-15-BA-close</t>
        </is>
      </c>
    </row>
    <row r="59">
      <c r="A59" s="2" t="inlineStr">
        <is>
          <t>2026-10-14</t>
        </is>
      </c>
      <c r="B59" s="2" t="inlineStr">
        <is>
          <t>2026-10-15</t>
        </is>
      </c>
      <c r="C59" s="2" t="inlineStr">
        <is>
          <t>BAC</t>
        </is>
      </c>
      <c r="D59" s="2" t="inlineStr">
        <is>
          <t>rebalance</t>
        </is>
      </c>
      <c r="E59" s="2" t="inlineStr">
        <is>
          <t>sell</t>
        </is>
      </c>
      <c r="F59" s="10" t="n">
        <v>44</v>
      </c>
      <c r="G59" s="10" t="n">
        <v>44</v>
      </c>
      <c r="H59" s="2" t="inlineStr">
        <is>
          <t>market, last minute before the close (lifecycle)</t>
        </is>
      </c>
      <c r="I59" s="5" t="n">
        <v>51.685</v>
      </c>
      <c r="J59" s="2" t="inlineStr">
        <is>
          <t>filled</t>
        </is>
      </c>
      <c r="K59" s="5" t="n">
        <v>51.63999999999999</v>
      </c>
      <c r="L59" s="5" t="n"/>
      <c r="M59" s="11" t="n"/>
      <c r="N59" s="10">
        <f>IFERROR(G59*IF(K59&lt;&gt;"",K59,I59),"")</f>
        <v/>
      </c>
      <c r="O59" s="2" t="inlineStr">
        <is>
          <t>fund-lc-2026-10-15-BAC-rebalance</t>
        </is>
      </c>
    </row>
    <row r="60">
      <c r="A60" s="2" t="inlineStr">
        <is>
          <t>2026-10-14</t>
        </is>
      </c>
      <c r="B60" s="2" t="inlineStr">
        <is>
          <t>2026-10-15</t>
        </is>
      </c>
      <c r="C60" s="2" t="inlineStr">
        <is>
          <t>BRK.B</t>
        </is>
      </c>
      <c r="D60" s="2" t="inlineStr">
        <is>
          <t>close</t>
        </is>
      </c>
      <c r="E60" s="2" t="inlineStr">
        <is>
          <t>buy</t>
        </is>
      </c>
      <c r="F60" s="10" t="n">
        <v>4</v>
      </c>
      <c r="G60" s="10" t="n">
        <v>4</v>
      </c>
      <c r="H60" s="2" t="inlineStr">
        <is>
          <t>market, last minute before the close (lifecycle)</t>
        </is>
      </c>
      <c r="I60" s="5" t="n">
        <v>525.8</v>
      </c>
      <c r="J60" s="2" t="inlineStr">
        <is>
          <t>filled</t>
        </is>
      </c>
      <c r="K60" s="5" t="n">
        <v>526.15</v>
      </c>
      <c r="L60" s="5" t="n"/>
      <c r="M60" s="11" t="n"/>
      <c r="N60" s="10">
        <f>IFERROR(G60*IF(K60&lt;&gt;"",K60,I60),"")</f>
        <v/>
      </c>
      <c r="O60" s="2" t="inlineStr">
        <is>
          <t>fund-lc-2026-10-15-BRK.B-close</t>
        </is>
      </c>
    </row>
    <row r="61">
      <c r="A61" s="2" t="inlineStr">
        <is>
          <t>2026-10-14</t>
        </is>
      </c>
      <c r="B61" s="2" t="inlineStr">
        <is>
          <t>2026-10-15</t>
        </is>
      </c>
      <c r="C61" s="2" t="inlineStr">
        <is>
          <t>CEG</t>
        </is>
      </c>
      <c r="D61" s="2" t="inlineStr">
        <is>
          <t>close</t>
        </is>
      </c>
      <c r="E61" s="2" t="inlineStr">
        <is>
          <t>sell</t>
        </is>
      </c>
      <c r="F61" s="10" t="n">
        <v>10</v>
      </c>
      <c r="G61" s="10" t="n">
        <v>10</v>
      </c>
      <c r="H61" s="2" t="inlineStr">
        <is>
          <t>market, last minute before the close (lifecycle)</t>
        </is>
      </c>
      <c r="I61" s="5" t="n">
        <v>276.38</v>
      </c>
      <c r="J61" s="2" t="inlineStr">
        <is>
          <t>filled</t>
        </is>
      </c>
      <c r="K61" s="5" t="n">
        <v>276.52</v>
      </c>
      <c r="L61" s="5" t="n"/>
      <c r="M61" s="11" t="n"/>
      <c r="N61" s="10">
        <f>IFERROR(G61*IF(K61&lt;&gt;"",K61,I61),"")</f>
        <v/>
      </c>
      <c r="O61" s="2" t="inlineStr">
        <is>
          <t>fund-lc-2026-10-15-CEG-close</t>
        </is>
      </c>
    </row>
    <row r="62">
      <c r="A62" s="2" t="inlineStr">
        <is>
          <t>2026-10-14</t>
        </is>
      </c>
      <c r="B62" s="2" t="inlineStr">
        <is>
          <t>2026-10-15</t>
        </is>
      </c>
      <c r="C62" s="2" t="inlineStr">
        <is>
          <t>CRM</t>
        </is>
      </c>
      <c r="D62" s="2" t="inlineStr">
        <is>
          <t>rebalance</t>
        </is>
      </c>
      <c r="E62" s="2" t="inlineStr">
        <is>
          <t>buy</t>
        </is>
      </c>
      <c r="F62" s="10" t="n">
        <v>12</v>
      </c>
      <c r="G62" s="10" t="n">
        <v>12</v>
      </c>
      <c r="H62" s="2" t="inlineStr">
        <is>
          <t>market, last minute before the close (lifecycle)</t>
        </is>
      </c>
      <c r="I62" s="5" t="n">
        <v>246.35</v>
      </c>
      <c r="J62" s="2" t="inlineStr">
        <is>
          <t>filled</t>
        </is>
      </c>
      <c r="K62" s="5" t="n">
        <v>246.679167</v>
      </c>
      <c r="L62" s="5" t="n"/>
      <c r="M62" s="11" t="n"/>
      <c r="N62" s="10">
        <f>IFERROR(G62*IF(K62&lt;&gt;"",K62,I62),"")</f>
        <v/>
      </c>
      <c r="O62" s="2" t="inlineStr">
        <is>
          <t>fund-lc-2026-10-15-CRM-rebalance</t>
        </is>
      </c>
    </row>
    <row r="63">
      <c r="A63" s="2" t="inlineStr">
        <is>
          <t>2026-10-14</t>
        </is>
      </c>
      <c r="B63" s="2" t="inlineStr">
        <is>
          <t>2026-10-15</t>
        </is>
      </c>
      <c r="C63" s="2" t="inlineStr">
        <is>
          <t>DAL</t>
        </is>
      </c>
      <c r="D63" s="2" t="inlineStr">
        <is>
          <t>rebalance</t>
        </is>
      </c>
      <c r="E63" s="2" t="inlineStr">
        <is>
          <t>sell</t>
        </is>
      </c>
      <c r="F63" s="10" t="n">
        <v>60</v>
      </c>
      <c r="G63" s="10" t="n">
        <v>60</v>
      </c>
      <c r="H63" s="2" t="inlineStr">
        <is>
          <t>market, last minute before the close (lifecycle)</t>
        </is>
      </c>
      <c r="I63" s="5" t="n">
        <v>78.09999999999999</v>
      </c>
      <c r="J63" s="2" t="inlineStr">
        <is>
          <t>filled</t>
        </is>
      </c>
      <c r="K63" s="5" t="n">
        <v>78.11</v>
      </c>
      <c r="L63" s="5" t="n"/>
      <c r="M63" s="11" t="n"/>
      <c r="N63" s="10">
        <f>IFERROR(G63*IF(K63&lt;&gt;"",K63,I63),"")</f>
        <v/>
      </c>
      <c r="O63" s="2" t="inlineStr">
        <is>
          <t>fund-lc-2026-10-15-DAL-rebalance</t>
        </is>
      </c>
    </row>
    <row r="64">
      <c r="A64" s="2" t="inlineStr">
        <is>
          <t>2026-10-14</t>
        </is>
      </c>
      <c r="B64" s="2" t="inlineStr">
        <is>
          <t>2026-10-15</t>
        </is>
      </c>
      <c r="C64" s="2" t="inlineStr">
        <is>
          <t>GOOGL</t>
        </is>
      </c>
      <c r="D64" s="2" t="inlineStr">
        <is>
          <t>close</t>
        </is>
      </c>
      <c r="E64" s="2" t="inlineStr">
        <is>
          <t>sell</t>
        </is>
      </c>
      <c r="F64" s="10" t="n">
        <v>9</v>
      </c>
      <c r="G64" s="10" t="n">
        <v>9</v>
      </c>
      <c r="H64" s="2" t="inlineStr">
        <is>
          <t>market, last minute before the close (lifecycle)</t>
        </is>
      </c>
      <c r="I64" s="5" t="n">
        <v>349.425</v>
      </c>
      <c r="J64" s="2" t="inlineStr">
        <is>
          <t>filled</t>
        </is>
      </c>
      <c r="K64" s="5" t="n">
        <v>349.461111</v>
      </c>
      <c r="L64" s="5" t="n"/>
      <c r="M64" s="11" t="n"/>
      <c r="N64" s="10">
        <f>IFERROR(G64*IF(K64&lt;&gt;"",K64,I64),"")</f>
        <v/>
      </c>
      <c r="O64" s="2" t="inlineStr">
        <is>
          <t>fund-lc-2026-10-15-GOOGL-close</t>
        </is>
      </c>
    </row>
    <row r="65">
      <c r="A65" s="2" t="inlineStr">
        <is>
          <t>2026-10-14</t>
        </is>
      </c>
      <c r="B65" s="2" t="inlineStr">
        <is>
          <t>2026-10-15</t>
        </is>
      </c>
      <c r="C65" s="2" t="inlineStr">
        <is>
          <t>HPE</t>
        </is>
      </c>
      <c r="D65" s="2" t="inlineStr">
        <is>
          <t>rebalance</t>
        </is>
      </c>
      <c r="E65" s="2" t="inlineStr">
        <is>
          <t>sell</t>
        </is>
      </c>
      <c r="F65" s="10" t="n">
        <v>4</v>
      </c>
      <c r="G65" s="10" t="n">
        <v>4</v>
      </c>
      <c r="H65" s="2" t="inlineStr">
        <is>
          <t>market, last minute before the close (lifecycle)</t>
        </is>
      </c>
      <c r="I65" s="5" t="n">
        <v>58.65</v>
      </c>
      <c r="J65" s="2" t="inlineStr">
        <is>
          <t>filled</t>
        </is>
      </c>
      <c r="K65" s="5" t="n">
        <v>58.7</v>
      </c>
      <c r="L65" s="5" t="n"/>
      <c r="M65" s="11" t="n"/>
      <c r="N65" s="10">
        <f>IFERROR(G65*IF(K65&lt;&gt;"",K65,I65),"")</f>
        <v/>
      </c>
      <c r="O65" s="2" t="inlineStr">
        <is>
          <t>fund-lc-2026-10-15-HPE-rebalance</t>
        </is>
      </c>
    </row>
    <row r="66">
      <c r="A66" s="2" t="inlineStr">
        <is>
          <t>2026-10-14</t>
        </is>
      </c>
      <c r="B66" s="2" t="inlineStr">
        <is>
          <t>2026-10-15</t>
        </is>
      </c>
      <c r="C66" s="2" t="inlineStr">
        <is>
          <t>JPM</t>
        </is>
      </c>
      <c r="D66" s="2" t="inlineStr">
        <is>
          <t>rebalance</t>
        </is>
      </c>
      <c r="E66" s="2" t="inlineStr">
        <is>
          <t>sell</t>
        </is>
      </c>
      <c r="F66" s="10" t="n">
        <v>7</v>
      </c>
      <c r="G66" s="10" t="n">
        <v>7</v>
      </c>
      <c r="H66" s="2" t="inlineStr">
        <is>
          <t>market, last minute before the close (lifecycle)</t>
        </is>
      </c>
      <c r="I66" s="5" t="n">
        <v>335.41</v>
      </c>
      <c r="J66" s="2" t="inlineStr">
        <is>
          <t>filled</t>
        </is>
      </c>
      <c r="K66" s="5" t="n">
        <v>335.42</v>
      </c>
      <c r="L66" s="5" t="n"/>
      <c r="M66" s="11" t="n"/>
      <c r="N66" s="10">
        <f>IFERROR(G66*IF(K66&lt;&gt;"",K66,I66),"")</f>
        <v/>
      </c>
      <c r="O66" s="2" t="inlineStr">
        <is>
          <t>fund-lc-2026-10-15-JPM-rebalance</t>
        </is>
      </c>
    </row>
    <row r="67">
      <c r="A67" s="2" t="inlineStr">
        <is>
          <t>2026-10-14</t>
        </is>
      </c>
      <c r="B67" s="2" t="inlineStr">
        <is>
          <t>2026-10-15</t>
        </is>
      </c>
      <c r="C67" s="2" t="inlineStr">
        <is>
          <t>KHC</t>
        </is>
      </c>
      <c r="D67" s="2" t="inlineStr">
        <is>
          <t>rebalance</t>
        </is>
      </c>
      <c r="E67" s="2" t="inlineStr">
        <is>
          <t>sell</t>
        </is>
      </c>
      <c r="F67" s="10" t="n">
        <v>101</v>
      </c>
      <c r="G67" s="10" t="n">
        <v>101</v>
      </c>
      <c r="H67" s="2" t="inlineStr">
        <is>
          <t>market, last minute before the close (lifecycle)</t>
        </is>
      </c>
      <c r="I67" s="5" t="n">
        <v>23.255</v>
      </c>
      <c r="J67" s="2" t="inlineStr">
        <is>
          <t>filled</t>
        </is>
      </c>
      <c r="K67" s="5" t="n">
        <v>23.24</v>
      </c>
      <c r="L67" s="5" t="n"/>
      <c r="M67" s="11" t="n"/>
      <c r="N67" s="10">
        <f>IFERROR(G67*IF(K67&lt;&gt;"",K67,I67),"")</f>
        <v/>
      </c>
      <c r="O67" s="2" t="inlineStr">
        <is>
          <t>fund-lc-2026-10-15-KHC-rebalance</t>
        </is>
      </c>
    </row>
    <row r="68">
      <c r="A68" s="2" t="inlineStr">
        <is>
          <t>2026-10-14</t>
        </is>
      </c>
      <c r="B68" s="2" t="inlineStr">
        <is>
          <t>2026-10-15</t>
        </is>
      </c>
      <c r="C68" s="2" t="inlineStr">
        <is>
          <t>LITE</t>
        </is>
      </c>
      <c r="D68" s="2" t="inlineStr">
        <is>
          <t>close</t>
        </is>
      </c>
      <c r="E68" s="2" t="inlineStr">
        <is>
          <t>sell</t>
        </is>
      </c>
      <c r="F68" s="10" t="n">
        <v>3</v>
      </c>
      <c r="G68" s="10" t="n">
        <v>3</v>
      </c>
      <c r="H68" s="2" t="inlineStr">
        <is>
          <t>market, last minute before the close (lifecycle)</t>
        </is>
      </c>
      <c r="I68" s="5" t="n">
        <v>869.13</v>
      </c>
      <c r="J68" s="2" t="inlineStr">
        <is>
          <t>filled</t>
        </is>
      </c>
      <c r="K68" s="5" t="n">
        <v>869.4233330000001</v>
      </c>
      <c r="L68" s="5" t="n"/>
      <c r="M68" s="11" t="n"/>
      <c r="N68" s="10">
        <f>IFERROR(G68*IF(K68&lt;&gt;"",K68,I68),"")</f>
        <v/>
      </c>
      <c r="O68" s="2" t="inlineStr">
        <is>
          <t>fund-lc-2026-10-15-LITE-close</t>
        </is>
      </c>
    </row>
    <row r="69">
      <c r="A69" s="2" t="inlineStr">
        <is>
          <t>2026-10-14</t>
        </is>
      </c>
      <c r="B69" s="2" t="inlineStr">
        <is>
          <t>2026-10-15</t>
        </is>
      </c>
      <c r="C69" s="2" t="inlineStr">
        <is>
          <t>LLY</t>
        </is>
      </c>
      <c r="D69" s="2" t="inlineStr">
        <is>
          <t>close</t>
        </is>
      </c>
      <c r="E69" s="2" t="inlineStr">
        <is>
          <t>sell</t>
        </is>
      </c>
      <c r="F69" s="10" t="n">
        <v>2</v>
      </c>
      <c r="G69" s="10" t="n">
        <v>2</v>
      </c>
      <c r="H69" s="2" t="inlineStr">
        <is>
          <t>market, last minute before the close (lifecycle)</t>
        </is>
      </c>
      <c r="I69" s="5" t="n">
        <v>1253.56</v>
      </c>
      <c r="J69" s="2" t="inlineStr">
        <is>
          <t>filled</t>
        </is>
      </c>
      <c r="K69" s="5" t="n">
        <v>1253.68</v>
      </c>
      <c r="L69" s="5" t="n"/>
      <c r="M69" s="11" t="n"/>
      <c r="N69" s="10">
        <f>IFERROR(G69*IF(K69&lt;&gt;"",K69,I69),"")</f>
        <v/>
      </c>
      <c r="O69" s="2" t="inlineStr">
        <is>
          <t>fund-lc-2026-10-15-LLY-close</t>
        </is>
      </c>
    </row>
    <row r="70">
      <c r="A70" s="2" t="inlineStr">
        <is>
          <t>2026-10-14</t>
        </is>
      </c>
      <c r="B70" s="2" t="inlineStr">
        <is>
          <t>2026-10-15</t>
        </is>
      </c>
      <c r="C70" s="2" t="inlineStr">
        <is>
          <t>LULU</t>
        </is>
      </c>
      <c r="D70" s="2" t="inlineStr">
        <is>
          <t>close</t>
        </is>
      </c>
      <c r="E70" s="2" t="inlineStr">
        <is>
          <t>buy</t>
        </is>
      </c>
      <c r="F70" s="10" t="n">
        <v>32</v>
      </c>
      <c r="G70" s="10" t="n">
        <v>32</v>
      </c>
      <c r="H70" s="2" t="inlineStr">
        <is>
          <t>market, last minute before the close (lifecycle)</t>
        </is>
      </c>
      <c r="I70" s="5" t="n">
        <v>99.16500000000001</v>
      </c>
      <c r="J70" s="2" t="inlineStr">
        <is>
          <t>filled</t>
        </is>
      </c>
      <c r="K70" s="5" t="n">
        <v>99.13124999999999</v>
      </c>
      <c r="L70" s="5" t="n"/>
      <c r="M70" s="11" t="n"/>
      <c r="N70" s="10">
        <f>IFERROR(G70*IF(K70&lt;&gt;"",K70,I70),"")</f>
        <v/>
      </c>
      <c r="O70" s="2" t="inlineStr">
        <is>
          <t>fund-lc-2026-10-15-LULU-close</t>
        </is>
      </c>
    </row>
    <row r="71">
      <c r="A71" s="2" t="inlineStr">
        <is>
          <t>2026-10-14</t>
        </is>
      </c>
      <c r="B71" s="2" t="inlineStr">
        <is>
          <t>2026-10-15</t>
        </is>
      </c>
      <c r="C71" s="2" t="inlineStr">
        <is>
          <t>MCD</t>
        </is>
      </c>
      <c r="D71" s="2" t="inlineStr">
        <is>
          <t>close</t>
        </is>
      </c>
      <c r="E71" s="2" t="inlineStr">
        <is>
          <t>buy</t>
        </is>
      </c>
      <c r="F71" s="10" t="n">
        <v>13</v>
      </c>
      <c r="G71" s="10" t="n">
        <v>13</v>
      </c>
      <c r="H71" s="2" t="inlineStr">
        <is>
          <t>market, last minute before the close (lifecycle)</t>
        </is>
      </c>
      <c r="I71" s="5" t="n">
        <v>242.55</v>
      </c>
      <c r="J71" s="2" t="inlineStr">
        <is>
          <t>filled</t>
        </is>
      </c>
      <c r="K71" s="5" t="n">
        <v>242.642308</v>
      </c>
      <c r="L71" s="5" t="n"/>
      <c r="M71" s="11" t="n"/>
      <c r="N71" s="10">
        <f>IFERROR(G71*IF(K71&lt;&gt;"",K71,I71),"")</f>
        <v/>
      </c>
      <c r="O71" s="2" t="inlineStr">
        <is>
          <t>fund-lc-2026-10-15-MCD-close</t>
        </is>
      </c>
    </row>
    <row r="72">
      <c r="A72" s="2" t="inlineStr">
        <is>
          <t>2026-10-14</t>
        </is>
      </c>
      <c r="B72" s="2" t="inlineStr">
        <is>
          <t>2026-10-15</t>
        </is>
      </c>
      <c r="C72" s="2" t="inlineStr">
        <is>
          <t>META</t>
        </is>
      </c>
      <c r="D72" s="2" t="inlineStr">
        <is>
          <t>close</t>
        </is>
      </c>
      <c r="E72" s="2" t="inlineStr">
        <is>
          <t>buy</t>
        </is>
      </c>
      <c r="F72" s="10" t="n">
        <v>4</v>
      </c>
      <c r="G72" s="10" t="n">
        <v>4</v>
      </c>
      <c r="H72" s="2" t="inlineStr">
        <is>
          <t>market, last minute before the close (lifecycle)</t>
        </is>
      </c>
      <c r="I72" s="5" t="n">
        <v>736.87</v>
      </c>
      <c r="J72" s="2" t="inlineStr">
        <is>
          <t>filled</t>
        </is>
      </c>
      <c r="K72" s="5" t="n">
        <v>736.4924999999999</v>
      </c>
      <c r="L72" s="5" t="n"/>
      <c r="M72" s="11" t="n"/>
      <c r="N72" s="10">
        <f>IFERROR(G72*IF(K72&lt;&gt;"",K72,I72),"")</f>
        <v/>
      </c>
      <c r="O72" s="2" t="inlineStr">
        <is>
          <t>fund-lc-2026-10-15-META-close</t>
        </is>
      </c>
    </row>
    <row r="73">
      <c r="A73" s="2" t="inlineStr">
        <is>
          <t>2026-10-14</t>
        </is>
      </c>
      <c r="B73" s="2" t="inlineStr">
        <is>
          <t>2026-10-15</t>
        </is>
      </c>
      <c r="C73" s="2" t="inlineStr">
        <is>
          <t>MRVL</t>
        </is>
      </c>
      <c r="D73" s="2" t="inlineStr">
        <is>
          <t>rebalance</t>
        </is>
      </c>
      <c r="E73" s="2" t="inlineStr">
        <is>
          <t>sell</t>
        </is>
      </c>
      <c r="F73" s="10" t="n">
        <v>2</v>
      </c>
      <c r="G73" s="10" t="n">
        <v>2</v>
      </c>
      <c r="H73" s="2" t="inlineStr">
        <is>
          <t>market, last minute before the close (lifecycle)</t>
        </is>
      </c>
      <c r="I73" s="5" t="n">
        <v>241.515</v>
      </c>
      <c r="J73" s="2" t="inlineStr">
        <is>
          <t>filled</t>
        </is>
      </c>
      <c r="K73" s="5" t="n">
        <v>241.535</v>
      </c>
      <c r="L73" s="5" t="n"/>
      <c r="M73" s="11" t="n"/>
      <c r="N73" s="10">
        <f>IFERROR(G73*IF(K73&lt;&gt;"",K73,I73),"")</f>
        <v/>
      </c>
      <c r="O73" s="2" t="inlineStr">
        <is>
          <t>fund-lc-2026-10-15-MRVL-rebalance</t>
        </is>
      </c>
    </row>
    <row r="74">
      <c r="A74" s="2" t="inlineStr">
        <is>
          <t>2026-10-14</t>
        </is>
      </c>
      <c r="B74" s="2" t="inlineStr">
        <is>
          <t>2026-10-15</t>
        </is>
      </c>
      <c r="C74" s="2" t="inlineStr">
        <is>
          <t>MSFT</t>
        </is>
      </c>
      <c r="D74" s="2" t="inlineStr">
        <is>
          <t>rebalance</t>
        </is>
      </c>
      <c r="E74" s="2" t="inlineStr">
        <is>
          <t>buy</t>
        </is>
      </c>
      <c r="F74" s="10" t="n">
        <v>5</v>
      </c>
      <c r="G74" s="10" t="n">
        <v>5</v>
      </c>
      <c r="H74" s="2" t="inlineStr">
        <is>
          <t>market, last minute before the close (lifecycle)</t>
        </is>
      </c>
      <c r="I74" s="5" t="n">
        <v>539.845</v>
      </c>
      <c r="J74" s="2" t="inlineStr">
        <is>
          <t>filled</t>
        </is>
      </c>
      <c r="K74" s="5" t="n">
        <v>539.63</v>
      </c>
      <c r="L74" s="5" t="n"/>
      <c r="M74" s="11" t="n"/>
      <c r="N74" s="10">
        <f>IFERROR(G74*IF(K74&lt;&gt;"",K74,I74),"")</f>
        <v/>
      </c>
      <c r="O74" s="2" t="inlineStr">
        <is>
          <t>fund-lc-2026-10-15-MSFT-rebalance</t>
        </is>
      </c>
    </row>
    <row r="75">
      <c r="A75" s="2" t="inlineStr">
        <is>
          <t>2026-10-14</t>
        </is>
      </c>
      <c r="B75" s="2" t="inlineStr">
        <is>
          <t>2026-10-15</t>
        </is>
      </c>
      <c r="C75" s="2" t="inlineStr">
        <is>
          <t>NFLX</t>
        </is>
      </c>
      <c r="D75" s="2" t="inlineStr">
        <is>
          <t>rebalance</t>
        </is>
      </c>
      <c r="E75" s="2" t="inlineStr">
        <is>
          <t>sell</t>
        </is>
      </c>
      <c r="F75" s="10" t="n">
        <v>30</v>
      </c>
      <c r="G75" s="10" t="n">
        <v>30</v>
      </c>
      <c r="H75" s="2" t="inlineStr">
        <is>
          <t>market, last minute before the close (lifecycle)</t>
        </is>
      </c>
      <c r="I75" s="5" t="n">
        <v>72.565</v>
      </c>
      <c r="J75" s="2" t="inlineStr">
        <is>
          <t>filled</t>
        </is>
      </c>
      <c r="K75" s="5" t="n">
        <v>72.61</v>
      </c>
      <c r="L75" s="5" t="n"/>
      <c r="M75" s="11" t="n"/>
      <c r="N75" s="10">
        <f>IFERROR(G75*IF(K75&lt;&gt;"",K75,I75),"")</f>
        <v/>
      </c>
      <c r="O75" s="2" t="inlineStr">
        <is>
          <t>fund-lc-2026-10-15-NFLX-rebalance</t>
        </is>
      </c>
    </row>
    <row r="76">
      <c r="A76" s="2" t="inlineStr">
        <is>
          <t>2026-10-14</t>
        </is>
      </c>
      <c r="B76" s="2" t="inlineStr">
        <is>
          <t>2026-10-15</t>
        </is>
      </c>
      <c r="C76" s="2" t="inlineStr">
        <is>
          <t>NVDA</t>
        </is>
      </c>
      <c r="D76" s="2" t="inlineStr">
        <is>
          <t>rebalance</t>
        </is>
      </c>
      <c r="E76" s="2" t="inlineStr">
        <is>
          <t>buy</t>
        </is>
      </c>
      <c r="F76" s="10" t="n">
        <v>4</v>
      </c>
      <c r="G76" s="10" t="n">
        <v>4</v>
      </c>
      <c r="H76" s="2" t="inlineStr">
        <is>
          <t>market, last minute before the close (lifecycle)</t>
        </is>
      </c>
      <c r="I76" s="5" t="n">
        <v>217.24</v>
      </c>
      <c r="J76" s="2" t="inlineStr">
        <is>
          <t>filled</t>
        </is>
      </c>
      <c r="K76" s="5" t="n">
        <v>217.33</v>
      </c>
      <c r="L76" s="5" t="n"/>
      <c r="M76" s="11" t="n"/>
      <c r="N76" s="10">
        <f>IFERROR(G76*IF(K76&lt;&gt;"",K76,I76),"")</f>
        <v/>
      </c>
      <c r="O76" s="2" t="inlineStr">
        <is>
          <t>fund-lc-2026-10-15-NVDA-rebalance</t>
        </is>
      </c>
    </row>
    <row r="77">
      <c r="A77" s="2" t="inlineStr">
        <is>
          <t>2026-10-14</t>
        </is>
      </c>
      <c r="B77" s="2" t="inlineStr">
        <is>
          <t>2026-10-15</t>
        </is>
      </c>
      <c r="C77" s="2" t="inlineStr">
        <is>
          <t>ON</t>
        </is>
      </c>
      <c r="D77" s="2" t="inlineStr">
        <is>
          <t>rebalance</t>
        </is>
      </c>
      <c r="E77" s="2" t="inlineStr">
        <is>
          <t>buy</t>
        </is>
      </c>
      <c r="F77" s="10" t="n">
        <v>37</v>
      </c>
      <c r="G77" s="10" t="n">
        <v>37</v>
      </c>
      <c r="H77" s="2" t="inlineStr">
        <is>
          <t>market, last minute before the close (lifecycle)</t>
        </is>
      </c>
      <c r="I77" s="5" t="n">
        <v>73.66</v>
      </c>
      <c r="J77" s="2" t="inlineStr">
        <is>
          <t>filled</t>
        </is>
      </c>
      <c r="K77" s="5" t="n">
        <v>73.81</v>
      </c>
      <c r="L77" s="5" t="n"/>
      <c r="M77" s="11" t="n"/>
      <c r="N77" s="10">
        <f>IFERROR(G77*IF(K77&lt;&gt;"",K77,I77),"")</f>
        <v/>
      </c>
      <c r="O77" s="2" t="inlineStr">
        <is>
          <t>fund-lc-2026-10-15-ON-rebalance</t>
        </is>
      </c>
    </row>
    <row r="78">
      <c r="A78" s="2" t="inlineStr">
        <is>
          <t>2026-10-14</t>
        </is>
      </c>
      <c r="B78" s="2" t="inlineStr">
        <is>
          <t>2026-10-15</t>
        </is>
      </c>
      <c r="C78" s="2" t="inlineStr">
        <is>
          <t>ORCL</t>
        </is>
      </c>
      <c r="D78" s="2" t="inlineStr">
        <is>
          <t>rebalance</t>
        </is>
      </c>
      <c r="E78" s="2" t="inlineStr">
        <is>
          <t>sell</t>
        </is>
      </c>
      <c r="F78" s="10" t="n">
        <v>29</v>
      </c>
      <c r="G78" s="10" t="n">
        <v>29</v>
      </c>
      <c r="H78" s="2" t="inlineStr">
        <is>
          <t>market, last minute before the close (lifecycle)</t>
        </is>
      </c>
      <c r="I78" s="5" t="n">
        <v>134.69</v>
      </c>
      <c r="J78" s="2" t="inlineStr">
        <is>
          <t>filled</t>
        </is>
      </c>
      <c r="K78" s="5" t="n">
        <v>134.657586</v>
      </c>
      <c r="L78" s="5" t="n"/>
      <c r="M78" s="11" t="n"/>
      <c r="N78" s="10">
        <f>IFERROR(G78*IF(K78&lt;&gt;"",K78,I78),"")</f>
        <v/>
      </c>
      <c r="O78" s="2" t="inlineStr">
        <is>
          <t>fund-lc-2026-10-15-ORCL-rebalance</t>
        </is>
      </c>
    </row>
    <row r="79">
      <c r="A79" s="2" t="inlineStr">
        <is>
          <t>2026-10-14</t>
        </is>
      </c>
      <c r="B79" s="2" t="inlineStr">
        <is>
          <t>2026-10-15</t>
        </is>
      </c>
      <c r="C79" s="2" t="inlineStr">
        <is>
          <t>PEP</t>
        </is>
      </c>
      <c r="D79" s="2" t="inlineStr">
        <is>
          <t>close</t>
        </is>
      </c>
      <c r="E79" s="2" t="inlineStr">
        <is>
          <t>buy</t>
        </is>
      </c>
      <c r="F79" s="10" t="n">
        <v>8</v>
      </c>
      <c r="G79" s="10" t="n">
        <v>8</v>
      </c>
      <c r="H79" s="2" t="inlineStr">
        <is>
          <t>market, last minute before the close (lifecycle)</t>
        </is>
      </c>
      <c r="I79" s="5" t="n">
        <v>128.61</v>
      </c>
      <c r="J79" s="2" t="inlineStr">
        <is>
          <t>filled</t>
        </is>
      </c>
      <c r="K79" s="5" t="n">
        <v>128.4175</v>
      </c>
      <c r="L79" s="5" t="n"/>
      <c r="M79" s="11" t="n"/>
      <c r="N79" s="10">
        <f>IFERROR(G79*IF(K79&lt;&gt;"",K79,I79),"")</f>
        <v/>
      </c>
      <c r="O79" s="2" t="inlineStr">
        <is>
          <t>fund-lc-2026-10-15-PEP-close</t>
        </is>
      </c>
    </row>
    <row r="80">
      <c r="A80" s="2" t="inlineStr">
        <is>
          <t>2026-10-14</t>
        </is>
      </c>
      <c r="B80" s="2" t="inlineStr">
        <is>
          <t>2026-10-15</t>
        </is>
      </c>
      <c r="C80" s="2" t="inlineStr">
        <is>
          <t>SMCI</t>
        </is>
      </c>
      <c r="D80" s="2" t="inlineStr">
        <is>
          <t>rebalance</t>
        </is>
      </c>
      <c r="E80" s="2" t="inlineStr">
        <is>
          <t>sell</t>
        </is>
      </c>
      <c r="F80" s="10" t="n">
        <v>62</v>
      </c>
      <c r="G80" s="10" t="n">
        <v>62</v>
      </c>
      <c r="H80" s="2" t="inlineStr">
        <is>
          <t>market, last minute before the close (lifecycle)</t>
        </is>
      </c>
      <c r="I80" s="5" t="n">
        <v>34.96</v>
      </c>
      <c r="J80" s="2" t="inlineStr">
        <is>
          <t>filled</t>
        </is>
      </c>
      <c r="K80" s="5" t="n">
        <v>35.094677</v>
      </c>
      <c r="L80" s="5" t="n"/>
      <c r="M80" s="11" t="n"/>
      <c r="N80" s="10">
        <f>IFERROR(G80*IF(K80&lt;&gt;"",K80,I80),"")</f>
        <v/>
      </c>
      <c r="O80" s="2" t="inlineStr">
        <is>
          <t>fund-lc-2026-10-15-SMCI-rebalance</t>
        </is>
      </c>
    </row>
    <row r="81">
      <c r="A81" s="2" t="inlineStr">
        <is>
          <t>2026-10-14</t>
        </is>
      </c>
      <c r="B81" s="2" t="inlineStr">
        <is>
          <t>2026-10-15</t>
        </is>
      </c>
      <c r="C81" s="2" t="inlineStr">
        <is>
          <t>SNDK</t>
        </is>
      </c>
      <c r="D81" s="2" t="inlineStr">
        <is>
          <t>close</t>
        </is>
      </c>
      <c r="E81" s="2" t="inlineStr">
        <is>
          <t>buy</t>
        </is>
      </c>
      <c r="F81" s="10" t="n">
        <v>2</v>
      </c>
      <c r="G81" s="10" t="n">
        <v>2</v>
      </c>
      <c r="H81" s="2" t="inlineStr">
        <is>
          <t>market, last minute before the close (lifecycle)</t>
        </is>
      </c>
      <c r="I81" s="5" t="n">
        <v>1392.11</v>
      </c>
      <c r="J81" s="2" t="inlineStr">
        <is>
          <t>filled</t>
        </is>
      </c>
      <c r="K81" s="5" t="n">
        <v>1395.31</v>
      </c>
      <c r="L81" s="5" t="n"/>
      <c r="M81" s="11" t="n"/>
      <c r="N81" s="10">
        <f>IFERROR(G81*IF(K81&lt;&gt;"",K81,I81),"")</f>
        <v/>
      </c>
      <c r="O81" s="2" t="inlineStr">
        <is>
          <t>fund-lc-2026-10-15-SNDK-close</t>
        </is>
      </c>
    </row>
    <row r="82">
      <c r="A82" s="2" t="inlineStr">
        <is>
          <t>2026-10-14</t>
        </is>
      </c>
      <c r="B82" s="2" t="inlineStr">
        <is>
          <t>2026-10-15</t>
        </is>
      </c>
      <c r="C82" s="2" t="inlineStr">
        <is>
          <t>SPY</t>
        </is>
      </c>
      <c r="D82" s="2" t="inlineStr">
        <is>
          <t>close</t>
        </is>
      </c>
      <c r="E82" s="2" t="inlineStr">
        <is>
          <t>buy</t>
        </is>
      </c>
      <c r="F82" s="10" t="n">
        <v>15</v>
      </c>
      <c r="G82" s="10" t="n">
        <v>15</v>
      </c>
      <c r="H82" s="2" t="inlineStr">
        <is>
          <t>market, last minute before the close (lifecycle)</t>
        </is>
      </c>
      <c r="I82" s="5" t="n">
        <v>771.92</v>
      </c>
      <c r="J82" s="2" t="inlineStr">
        <is>
          <t>filled</t>
        </is>
      </c>
      <c r="K82" s="5" t="n">
        <v>771.98</v>
      </c>
      <c r="L82" s="5" t="n"/>
      <c r="M82" s="11" t="n"/>
      <c r="N82" s="10">
        <f>IFERROR(G82*IF(K82&lt;&gt;"",K82,I82),"")</f>
        <v/>
      </c>
      <c r="O82" s="2" t="inlineStr">
        <is>
          <t>fund-lc-2026-10-15-SPY-close</t>
        </is>
      </c>
    </row>
    <row r="83">
      <c r="A83" s="2" t="inlineStr">
        <is>
          <t>2026-10-14</t>
        </is>
      </c>
      <c r="B83" s="2" t="inlineStr">
        <is>
          <t>2026-10-15</t>
        </is>
      </c>
      <c r="C83" s="2" t="inlineStr">
        <is>
          <t>STT</t>
        </is>
      </c>
      <c r="D83" s="2" t="inlineStr">
        <is>
          <t>rebalance</t>
        </is>
      </c>
      <c r="E83" s="2" t="inlineStr">
        <is>
          <t>sell</t>
        </is>
      </c>
      <c r="F83" s="10" t="n">
        <v>14</v>
      </c>
      <c r="G83" s="10" t="n">
        <v>14</v>
      </c>
      <c r="H83" s="2" t="inlineStr">
        <is>
          <t>market, last minute before the close (lifecycle)</t>
        </is>
      </c>
      <c r="I83" s="5" t="n">
        <v>167.425</v>
      </c>
      <c r="J83" s="2" t="inlineStr">
        <is>
          <t>filled</t>
        </is>
      </c>
      <c r="K83" s="5" t="n">
        <v>167.637143</v>
      </c>
      <c r="L83" s="5" t="n"/>
      <c r="M83" s="11" t="n"/>
      <c r="N83" s="10">
        <f>IFERROR(G83*IF(K83&lt;&gt;"",K83,I83),"")</f>
        <v/>
      </c>
      <c r="O83" s="2" t="inlineStr">
        <is>
          <t>fund-lc-2026-10-15-STT-rebalance</t>
        </is>
      </c>
    </row>
    <row r="84">
      <c r="A84" s="2" t="inlineStr">
        <is>
          <t>2026-10-14</t>
        </is>
      </c>
      <c r="B84" s="2" t="inlineStr">
        <is>
          <t>2026-10-15</t>
        </is>
      </c>
      <c r="C84" s="2" t="inlineStr">
        <is>
          <t>STX</t>
        </is>
      </c>
      <c r="D84" s="2" t="inlineStr">
        <is>
          <t>close</t>
        </is>
      </c>
      <c r="E84" s="2" t="inlineStr">
        <is>
          <t>buy</t>
        </is>
      </c>
      <c r="F84" s="10" t="n">
        <v>3</v>
      </c>
      <c r="G84" s="10" t="n">
        <v>3</v>
      </c>
      <c r="H84" s="2" t="inlineStr">
        <is>
          <t>market, last minute before the close (lifecycle)</t>
        </is>
      </c>
      <c r="I84" s="5" t="n">
        <v>690.02</v>
      </c>
      <c r="J84" s="2" t="inlineStr">
        <is>
          <t>filled</t>
        </is>
      </c>
      <c r="K84" s="5" t="n">
        <v>691.4699999999999</v>
      </c>
      <c r="L84" s="5" t="n"/>
      <c r="M84" s="11" t="n"/>
      <c r="N84" s="10">
        <f>IFERROR(G84*IF(K84&lt;&gt;"",K84,I84),"")</f>
        <v/>
      </c>
      <c r="O84" s="2" t="inlineStr">
        <is>
          <t>fund-lc-2026-10-15-STX-close</t>
        </is>
      </c>
    </row>
    <row r="85">
      <c r="A85" s="2" t="inlineStr">
        <is>
          <t>2026-10-14</t>
        </is>
      </c>
      <c r="B85" s="2" t="inlineStr">
        <is>
          <t>2026-10-15</t>
        </is>
      </c>
      <c r="C85" s="2" t="inlineStr">
        <is>
          <t>TSLA</t>
        </is>
      </c>
      <c r="D85" s="2" t="inlineStr">
        <is>
          <t>rebalance</t>
        </is>
      </c>
      <c r="E85" s="2" t="inlineStr">
        <is>
          <t>sell</t>
        </is>
      </c>
      <c r="F85" s="10" t="n">
        <v>4</v>
      </c>
      <c r="G85" s="10" t="n">
        <v>4</v>
      </c>
      <c r="H85" s="2" t="inlineStr">
        <is>
          <t>market, last minute before the close (lifecycle)</t>
        </is>
      </c>
      <c r="I85" s="5" t="n">
        <v>362.91</v>
      </c>
      <c r="J85" s="2" t="inlineStr">
        <is>
          <t>filled</t>
        </is>
      </c>
      <c r="K85" s="5" t="n">
        <v>362.625</v>
      </c>
      <c r="L85" s="5" t="n"/>
      <c r="M85" s="11" t="n"/>
      <c r="N85" s="10">
        <f>IFERROR(G85*IF(K85&lt;&gt;"",K85,I85),"")</f>
        <v/>
      </c>
      <c r="O85" s="2" t="inlineStr">
        <is>
          <t>fund-lc-2026-10-15-TSLA-rebalance</t>
        </is>
      </c>
    </row>
    <row r="86">
      <c r="A86" s="2" t="inlineStr">
        <is>
          <t>2026-10-14</t>
        </is>
      </c>
      <c r="B86" s="2" t="inlineStr">
        <is>
          <t>2026-10-15</t>
        </is>
      </c>
      <c r="C86" s="2" t="inlineStr">
        <is>
          <t>VEEV</t>
        </is>
      </c>
      <c r="D86" s="2" t="inlineStr">
        <is>
          <t>rebalance</t>
        </is>
      </c>
      <c r="E86" s="2" t="inlineStr">
        <is>
          <t>buy</t>
        </is>
      </c>
      <c r="F86" s="10" t="n">
        <v>9</v>
      </c>
      <c r="G86" s="10" t="n">
        <v>9</v>
      </c>
      <c r="H86" s="2" t="inlineStr">
        <is>
          <t>market, last minute before the close (lifecycle)</t>
        </is>
      </c>
      <c r="I86" s="5" t="n">
        <v>313.09</v>
      </c>
      <c r="J86" s="2" t="inlineStr">
        <is>
          <t>filled</t>
        </is>
      </c>
      <c r="K86" s="5" t="n">
        <v>313.1</v>
      </c>
      <c r="L86" s="5" t="n"/>
      <c r="M86" s="11" t="n"/>
      <c r="N86" s="10">
        <f>IFERROR(G86*IF(K86&lt;&gt;"",K86,I86),"")</f>
        <v/>
      </c>
      <c r="O86" s="2" t="inlineStr">
        <is>
          <t>fund-lc-2026-10-15-VEEV-rebalance</t>
        </is>
      </c>
    </row>
    <row r="87">
      <c r="A87" s="2" t="inlineStr">
        <is>
          <t>2026-10-14</t>
        </is>
      </c>
      <c r="B87" s="2" t="inlineStr">
        <is>
          <t>2026-10-15</t>
        </is>
      </c>
      <c r="C87" s="2" t="inlineStr">
        <is>
          <t>WDC</t>
        </is>
      </c>
      <c r="D87" s="2" t="inlineStr">
        <is>
          <t>close</t>
        </is>
      </c>
      <c r="E87" s="2" t="inlineStr">
        <is>
          <t>buy</t>
        </is>
      </c>
      <c r="F87" s="10" t="n">
        <v>8</v>
      </c>
      <c r="G87" s="10" t="n">
        <v>8</v>
      </c>
      <c r="H87" s="2" t="inlineStr">
        <is>
          <t>market, last minute before the close (lifecycle)</t>
        </is>
      </c>
      <c r="I87" s="5" t="n">
        <v>355.84</v>
      </c>
      <c r="J87" s="2" t="inlineStr">
        <is>
          <t>filled</t>
        </is>
      </c>
      <c r="K87" s="5" t="n">
        <v>356.53</v>
      </c>
      <c r="L87" s="5" t="n"/>
      <c r="M87" s="11" t="n"/>
      <c r="N87" s="10">
        <f>IFERROR(G87*IF(K87&lt;&gt;"",K87,I87),"")</f>
        <v/>
      </c>
      <c r="O87" s="2" t="inlineStr">
        <is>
          <t>fund-lc-2026-10-15-WDC-close</t>
        </is>
      </c>
    </row>
    <row r="88">
      <c r="A88" s="2" t="inlineStr">
        <is>
          <t>2026-10-14</t>
        </is>
      </c>
      <c r="B88" s="2" t="inlineStr">
        <is>
          <t>2026-10-16</t>
        </is>
      </c>
      <c r="C88" s="2" t="inlineStr">
        <is>
          <t>MSFT</t>
        </is>
      </c>
      <c r="D88" s="2" t="inlineStr">
        <is>
          <t>rebalance</t>
        </is>
      </c>
      <c r="E88" s="2" t="inlineStr">
        <is>
          <t>buy</t>
        </is>
      </c>
      <c r="F88" s="10" t="n">
        <v>2</v>
      </c>
      <c r="G88" s="10" t="n">
        <v>2</v>
      </c>
      <c r="H88" s="2" t="inlineStr">
        <is>
          <t>market, last minute before the close (lifecycle)</t>
        </is>
      </c>
      <c r="I88" s="5" t="n">
        <v>529.29</v>
      </c>
      <c r="J88" s="2" t="inlineStr">
        <is>
          <t>filled</t>
        </is>
      </c>
      <c r="K88" s="5" t="n">
        <v>529.205</v>
      </c>
      <c r="L88" s="5" t="n"/>
      <c r="M88" s="11" t="n"/>
      <c r="N88" s="10">
        <f>IFERROR(G88*IF(K88&lt;&gt;"",K88,I88),"")</f>
        <v/>
      </c>
      <c r="O88" s="2" t="inlineStr">
        <is>
          <t>fund-lc-2026-10-16-MSFT-rebalance</t>
        </is>
      </c>
    </row>
    <row r="89">
      <c r="A89" s="2" t="inlineStr">
        <is>
          <t>2026-10-14</t>
        </is>
      </c>
      <c r="B89" s="2" t="inlineStr">
        <is>
          <t>2026-10-16</t>
        </is>
      </c>
      <c r="C89" s="2" t="inlineStr">
        <is>
          <t>NFLX</t>
        </is>
      </c>
      <c r="D89" s="2" t="inlineStr">
        <is>
          <t>rebalance</t>
        </is>
      </c>
      <c r="E89" s="2" t="inlineStr">
        <is>
          <t>buy</t>
        </is>
      </c>
      <c r="F89" s="10" t="n">
        <v>15</v>
      </c>
      <c r="G89" s="10" t="n">
        <v>15</v>
      </c>
      <c r="H89" s="2" t="inlineStr">
        <is>
          <t>market, last minute before the close (lifecycle)</t>
        </is>
      </c>
      <c r="I89" s="5" t="n">
        <v>70.485</v>
      </c>
      <c r="J89" s="2" t="inlineStr">
        <is>
          <t>filled</t>
        </is>
      </c>
      <c r="K89" s="5" t="n">
        <v>70.61666700000001</v>
      </c>
      <c r="L89" s="5" t="n"/>
      <c r="M89" s="11" t="n"/>
      <c r="N89" s="10">
        <f>IFERROR(G89*IF(K89&lt;&gt;"",K89,I89),"")</f>
        <v/>
      </c>
      <c r="O89" s="2" t="inlineStr">
        <is>
          <t>fund-lc-2026-10-16-NFLX-rebalance</t>
        </is>
      </c>
    </row>
    <row r="90">
      <c r="A90" s="2" t="inlineStr">
        <is>
          <t>2026-10-14</t>
        </is>
      </c>
      <c r="B90" s="2" t="inlineStr">
        <is>
          <t>2026-10-16</t>
        </is>
      </c>
      <c r="C90" s="2" t="inlineStr">
        <is>
          <t>SMCI</t>
        </is>
      </c>
      <c r="D90" s="2" t="inlineStr">
        <is>
          <t>rebalance</t>
        </is>
      </c>
      <c r="E90" s="2" t="inlineStr">
        <is>
          <t>buy</t>
        </is>
      </c>
      <c r="F90" s="10" t="n">
        <v>1</v>
      </c>
      <c r="G90" s="10" t="n">
        <v>1</v>
      </c>
      <c r="H90" s="2" t="inlineStr">
        <is>
          <t>market, last minute before the close (lifecycle)</t>
        </is>
      </c>
      <c r="I90" s="5" t="n">
        <v>31.625</v>
      </c>
      <c r="J90" s="2" t="inlineStr">
        <is>
          <t>filled</t>
        </is>
      </c>
      <c r="K90" s="5" t="n">
        <v>31.6</v>
      </c>
      <c r="L90" s="5" t="n"/>
      <c r="M90" s="11" t="n"/>
      <c r="N90" s="10">
        <f>IFERROR(G90*IF(K90&lt;&gt;"",K90,I90),"")</f>
        <v/>
      </c>
      <c r="O90" s="2" t="inlineStr">
        <is>
          <t>fund-lc-2026-10-16-SMCI-rebalance</t>
        </is>
      </c>
    </row>
    <row r="91">
      <c r="A91" s="2" t="inlineStr">
        <is>
          <t>2026-10-14</t>
        </is>
      </c>
      <c r="B91" s="2" t="inlineStr">
        <is>
          <t>2026-10-19</t>
        </is>
      </c>
      <c r="C91" s="2" t="inlineStr">
        <is>
          <t>BAC</t>
        </is>
      </c>
      <c r="D91" s="2" t="inlineStr">
        <is>
          <t>rebalance</t>
        </is>
      </c>
      <c r="E91" s="2" t="inlineStr">
        <is>
          <t>sell</t>
        </is>
      </c>
      <c r="F91" s="10" t="n">
        <v>24</v>
      </c>
      <c r="G91" s="10" t="n">
        <v>24</v>
      </c>
      <c r="H91" s="2" t="inlineStr">
        <is>
          <t>market, last minute before the close (lifecycle)</t>
        </is>
      </c>
      <c r="I91" s="5" t="n">
        <v>50.355</v>
      </c>
      <c r="J91" s="2" t="inlineStr">
        <is>
          <t>filled</t>
        </is>
      </c>
      <c r="K91" s="5" t="n">
        <v>50.375417</v>
      </c>
      <c r="L91" s="5" t="n"/>
      <c r="M91" s="11" t="n"/>
      <c r="N91" s="10">
        <f>IFERROR(G91*IF(K91&lt;&gt;"",K91,I91),"")</f>
        <v/>
      </c>
      <c r="O91" s="2" t="inlineStr">
        <is>
          <t>fund-lc-2026-10-19-BAC-rebalance</t>
        </is>
      </c>
    </row>
    <row r="92">
      <c r="A92" s="2" t="inlineStr">
        <is>
          <t>2026-10-14</t>
        </is>
      </c>
      <c r="B92" s="2" t="inlineStr">
        <is>
          <t>2026-10-19</t>
        </is>
      </c>
      <c r="C92" s="2" t="inlineStr">
        <is>
          <t>DAL</t>
        </is>
      </c>
      <c r="D92" s="2" t="inlineStr">
        <is>
          <t>rebalance</t>
        </is>
      </c>
      <c r="E92" s="2" t="inlineStr">
        <is>
          <t>sell</t>
        </is>
      </c>
      <c r="F92" s="10" t="n">
        <v>35</v>
      </c>
      <c r="G92" s="10" t="n">
        <v>35</v>
      </c>
      <c r="H92" s="2" t="inlineStr">
        <is>
          <t>market, last minute before the close (lifecycle)</t>
        </is>
      </c>
      <c r="I92" s="5" t="n">
        <v>74.58</v>
      </c>
      <c r="J92" s="2" t="inlineStr">
        <is>
          <t>filled</t>
        </is>
      </c>
      <c r="K92" s="5" t="n">
        <v>74.55</v>
      </c>
      <c r="L92" s="5" t="n"/>
      <c r="M92" s="11" t="n"/>
      <c r="N92" s="10">
        <f>IFERROR(G92*IF(K92&lt;&gt;"",K92,I92),"")</f>
        <v/>
      </c>
      <c r="O92" s="2" t="inlineStr">
        <is>
          <t>fund-lc-2026-10-19-DAL-rebalance</t>
        </is>
      </c>
    </row>
  </sheetData>
  <autoFilter ref="A1:O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4" customWidth="1" min="3" max="3"/>
    <col width="12" customWidth="1" min="4" max="4"/>
    <col width="16" customWidth="1" min="5" max="5"/>
    <col width="16" customWidth="1" min="6" max="6"/>
  </cols>
  <sheetData>
    <row r="1" ht="30" customHeight="1">
      <c r="A1" s="1" t="inlineStr">
        <is>
          <t>Day</t>
        </is>
      </c>
      <c r="B1" s="1" t="inlineStr">
        <is>
          <t>Paper account value ($)</t>
        </is>
      </c>
      <c r="C1" s="1" t="inlineStr">
        <is>
          <t>Invested ($)</t>
        </is>
      </c>
      <c r="D1" s="1" t="inlineStr">
        <is>
          <t>Daily return (%)</t>
        </is>
      </c>
      <c r="E1" s="1" t="inlineStr">
        <is>
          <t>P&amp;L since first trade ($)</t>
        </is>
      </c>
      <c r="F1" s="1" t="inlineStr">
        <is>
          <t>Return on invested (%)</t>
        </is>
      </c>
    </row>
    <row r="2">
      <c r="A2" s="2" t="inlineStr">
        <is>
          <t>2026-10-01</t>
        </is>
      </c>
      <c r="B2" s="12" t="n">
        <v>100000</v>
      </c>
      <c r="C2" s="12" t="n">
        <v>10953.86</v>
      </c>
      <c r="D2" s="7" t="inlineStr"/>
      <c r="E2" s="3">
        <f>B2-$B$2</f>
        <v/>
      </c>
      <c r="F2" s="7">
        <f>IF(C2&gt;0,E2/C2,"")</f>
        <v/>
      </c>
    </row>
    <row r="3">
      <c r="A3" s="2" t="inlineStr">
        <is>
          <t>2026-10-02</t>
        </is>
      </c>
      <c r="B3" s="12" t="n">
        <v>99999.89</v>
      </c>
      <c r="C3" s="12" t="n">
        <v>10953.86</v>
      </c>
      <c r="D3" s="7">
        <f>IF(C2&gt;0,(B3-B2)/C2,"")</f>
        <v/>
      </c>
      <c r="E3" s="3">
        <f>B3-$B$2</f>
        <v/>
      </c>
      <c r="F3" s="7">
        <f>IF(C3&gt;0,E3/C3,"")</f>
        <v/>
      </c>
    </row>
    <row r="4">
      <c r="A4" s="2" t="inlineStr">
        <is>
          <t>2026-10-03</t>
        </is>
      </c>
      <c r="B4" s="12" t="n">
        <v>99968.23</v>
      </c>
      <c r="C4" s="12" t="n">
        <v>10953.86</v>
      </c>
      <c r="D4" s="7">
        <f>IF(C3&gt;0,(B4-B3)/C3,"")</f>
        <v/>
      </c>
      <c r="E4" s="3">
        <f>B4-$B$2</f>
        <v/>
      </c>
      <c r="F4" s="7">
        <f>IF(C4&gt;0,E4/C4,"")</f>
        <v/>
      </c>
    </row>
    <row r="5">
      <c r="A5" s="2" t="inlineStr">
        <is>
          <t>2026-10-06</t>
        </is>
      </c>
      <c r="B5" s="12" t="n">
        <v>99986.53</v>
      </c>
      <c r="C5" s="12" t="n">
        <v>10953.86</v>
      </c>
      <c r="D5" s="7">
        <f>IF(C4&gt;0,(B5-B4)/C4,"")</f>
        <v/>
      </c>
      <c r="E5" s="3">
        <f>B5-$B$2</f>
        <v/>
      </c>
      <c r="F5" s="7">
        <f>IF(C5&gt;0,E5/C5,"")</f>
        <v/>
      </c>
    </row>
    <row r="6">
      <c r="A6" s="2" t="inlineStr">
        <is>
          <t>2026-10-07</t>
        </is>
      </c>
      <c r="B6" s="12" t="n">
        <v>100026.93</v>
      </c>
      <c r="C6" s="12" t="n">
        <v>10057.94</v>
      </c>
      <c r="D6" s="7">
        <f>IF(C5&gt;0,(B6-B5)/C5,"")</f>
        <v/>
      </c>
      <c r="E6" s="3">
        <f>B6-$B$2</f>
        <v/>
      </c>
      <c r="F6" s="7">
        <f>IF(C6&gt;0,E6/C6,"")</f>
        <v/>
      </c>
    </row>
    <row r="7">
      <c r="A7" s="2" t="inlineStr">
        <is>
          <t>2026-10-08</t>
        </is>
      </c>
      <c r="B7" s="12" t="n">
        <v>100100.07</v>
      </c>
      <c r="C7" s="12" t="n">
        <v>84104.11985517187</v>
      </c>
      <c r="D7" s="7">
        <f>IF(C6&gt;0,(B7-B6)/C6,"")</f>
        <v/>
      </c>
      <c r="E7" s="3">
        <f>B7-$B$2</f>
        <v/>
      </c>
      <c r="F7" s="7">
        <f>IF(C7&gt;0,E7/C7,"")</f>
        <v/>
      </c>
    </row>
    <row r="8">
      <c r="A8" s="2" t="inlineStr">
        <is>
          <t>2026-10-09</t>
        </is>
      </c>
      <c r="B8" s="12" t="n">
        <v>100051.96</v>
      </c>
      <c r="C8" s="12" t="n">
        <v>80551.03985217187</v>
      </c>
      <c r="D8" s="7">
        <f>IF(C7&gt;0,(B8-B7)/C7,"")</f>
        <v/>
      </c>
      <c r="E8" s="3">
        <f>B8-$B$2</f>
        <v/>
      </c>
      <c r="F8" s="7">
        <f>IF(C8&gt;0,E8/C8,"")</f>
        <v/>
      </c>
    </row>
    <row r="9">
      <c r="A9" s="2" t="inlineStr">
        <is>
          <t>2026-10-10</t>
        </is>
      </c>
      <c r="B9" s="12" t="n">
        <v>100372.87</v>
      </c>
      <c r="C9" s="12" t="n">
        <v>80551.03985217187</v>
      </c>
      <c r="D9" s="7">
        <f>IF(C8&gt;0,(B9-B8)/C8,"")</f>
        <v/>
      </c>
      <c r="E9" s="3">
        <f>B9-$B$2</f>
        <v/>
      </c>
      <c r="F9" s="7">
        <f>IF(C9&gt;0,E9/C9,"")</f>
        <v/>
      </c>
    </row>
    <row r="10">
      <c r="A10" s="2" t="inlineStr">
        <is>
          <t>2026-10-13</t>
        </is>
      </c>
      <c r="B10" s="12" t="n">
        <v>99660.46000000001</v>
      </c>
      <c r="C10" s="12" t="n">
        <v>73870.60485217186</v>
      </c>
      <c r="D10" s="7">
        <f>IF(C9&gt;0,(B10-B9)/C9,"")</f>
        <v/>
      </c>
      <c r="E10" s="3">
        <f>B10-$B$2</f>
        <v/>
      </c>
      <c r="F10" s="7">
        <f>IF(C10&gt;0,E10/C10,"")</f>
        <v/>
      </c>
    </row>
    <row r="11">
      <c r="A11" s="2" t="inlineStr">
        <is>
          <t>2026-10-14</t>
        </is>
      </c>
      <c r="B11" s="12" t="n">
        <v>99625.25</v>
      </c>
      <c r="C11" s="12" t="n">
        <v>68944.76484817186</v>
      </c>
      <c r="D11" s="7">
        <f>IF(C10&gt;0,(B11-B10)/C10,"")</f>
        <v/>
      </c>
      <c r="E11" s="3">
        <f>B11-$B$2</f>
        <v/>
      </c>
      <c r="F11" s="7">
        <f>IF(C11&gt;0,E11/C11,"")</f>
        <v/>
      </c>
    </row>
    <row r="12">
      <c r="A12" s="2" t="inlineStr">
        <is>
          <t>2026-10-15</t>
        </is>
      </c>
      <c r="B12" s="12" t="n">
        <v>98792.39999999999</v>
      </c>
      <c r="C12" s="12" t="n">
        <v>58556.64527570313</v>
      </c>
      <c r="D12" s="7">
        <f>IF(C11&gt;0,(B12-B11)/C11,"")</f>
        <v/>
      </c>
      <c r="E12" s="3">
        <f>B12-$B$2</f>
        <v/>
      </c>
      <c r="F12" s="7">
        <f>IF(C12&gt;0,E12/C12,"")</f>
        <v/>
      </c>
    </row>
    <row r="13">
      <c r="A13" s="2" t="inlineStr">
        <is>
          <t>2026-10-16</t>
        </is>
      </c>
      <c r="B13" s="12" t="n">
        <v>98144.96000000001</v>
      </c>
      <c r="C13" s="12" t="n">
        <v>58556.64527570313</v>
      </c>
      <c r="D13" s="7">
        <f>IF(C12&gt;0,(B13-B12)/C12,"")</f>
        <v/>
      </c>
      <c r="E13" s="3">
        <f>B13-$B$2</f>
        <v/>
      </c>
      <c r="F13" s="7">
        <f>IF(C13&gt;0,E13/C13,"")</f>
        <v/>
      </c>
    </row>
    <row r="14">
      <c r="A14" s="2" t="inlineStr">
        <is>
          <t>2026-10-17</t>
        </is>
      </c>
      <c r="B14" s="12" t="n">
        <v>97920.66</v>
      </c>
      <c r="C14" s="12" t="n">
        <v>58556.64527570313</v>
      </c>
      <c r="D14" s="7">
        <f>IF(C13&gt;0,(B14-B13)/C13,"")</f>
        <v/>
      </c>
      <c r="E14" s="3">
        <f>B14-$B$2</f>
        <v/>
      </c>
      <c r="F14" s="7">
        <f>IF(C14&gt;0,E14/C14,"")</f>
        <v/>
      </c>
    </row>
  </sheetData>
  <autoFilter ref="A1:F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s>
  <sheetData>
    <row r="1" ht="30" customHeight="1">
      <c r="A1" s="1" t="inlineStr">
        <is>
          <t>Date</t>
        </is>
      </c>
      <c r="B1" s="1" t="inlineStr">
        <is>
          <t>Type</t>
        </is>
      </c>
      <c r="C1" s="1" t="inlineStr">
        <is>
          <t>Ticker</t>
        </is>
      </c>
      <c r="D1" s="1" t="inlineStr">
        <is>
          <t>Quantity</t>
        </is>
      </c>
      <c r="E1" s="1" t="inlineStr">
        <is>
          <t>Per share ($)</t>
        </is>
      </c>
      <c r="F1" s="1" t="inlineStr">
        <is>
          <t>Amount ($)</t>
        </is>
      </c>
    </row>
    <row r="2">
      <c r="A2" s="2" t="inlineStr">
        <is>
          <t>2026-10-01</t>
        </is>
      </c>
      <c r="B2" s="2" t="inlineStr">
        <is>
          <t>FEE</t>
        </is>
      </c>
      <c r="C2" s="2" t="n"/>
      <c r="D2" s="10" t="n"/>
      <c r="E2" s="13" t="n"/>
      <c r="F2" s="3" t="n">
        <v>-0.11</v>
      </c>
    </row>
    <row r="3">
      <c r="A3" s="2" t="inlineStr">
        <is>
          <t>2026-10-01</t>
        </is>
      </c>
      <c r="B3" s="2" t="inlineStr">
        <is>
          <t>FEE</t>
        </is>
      </c>
      <c r="C3" s="2" t="n"/>
      <c r="D3" s="10" t="n"/>
      <c r="E3" s="13" t="n"/>
      <c r="F3" s="3" t="n">
        <v>-0.01</v>
      </c>
    </row>
    <row r="4">
      <c r="A4" s="2" t="inlineStr">
        <is>
          <t>2026-10-06</t>
        </is>
      </c>
      <c r="B4" s="2" t="inlineStr">
        <is>
          <t>FEE</t>
        </is>
      </c>
      <c r="C4" s="2" t="n"/>
      <c r="D4" s="10" t="n"/>
      <c r="E4" s="13" t="n"/>
      <c r="F4" s="3" t="n">
        <v>-0.01</v>
      </c>
    </row>
    <row r="5">
      <c r="A5" s="2" t="inlineStr">
        <is>
          <t>2026-10-07</t>
        </is>
      </c>
      <c r="B5" s="2" t="inlineStr">
        <is>
          <t>FEE</t>
        </is>
      </c>
      <c r="C5" s="2" t="n"/>
      <c r="D5" s="10" t="n"/>
      <c r="E5" s="13" t="n"/>
      <c r="F5" s="3" t="n">
        <v>-0.01</v>
      </c>
    </row>
    <row r="6">
      <c r="A6" s="2" t="inlineStr">
        <is>
          <t>2026-10-07</t>
        </is>
      </c>
      <c r="B6" s="2" t="inlineStr">
        <is>
          <t>FEE</t>
        </is>
      </c>
      <c r="C6" s="2" t="n"/>
      <c r="D6" s="10" t="n"/>
      <c r="E6" s="13" t="n"/>
      <c r="F6" s="3" t="n">
        <v>-0.06</v>
      </c>
    </row>
    <row r="7">
      <c r="A7" s="2" t="inlineStr">
        <is>
          <t>2026-10-08</t>
        </is>
      </c>
      <c r="B7" s="2" t="inlineStr">
        <is>
          <t>FEE</t>
        </is>
      </c>
      <c r="C7" s="2" t="n"/>
      <c r="D7" s="10" t="n"/>
      <c r="E7" s="13" t="n"/>
      <c r="F7" s="3" t="n">
        <v>-1</v>
      </c>
    </row>
    <row r="8">
      <c r="A8" s="2" t="inlineStr">
        <is>
          <t>2026-10-08</t>
        </is>
      </c>
      <c r="B8" s="2" t="inlineStr">
        <is>
          <t>FEE</t>
        </is>
      </c>
      <c r="C8" s="2" t="n"/>
      <c r="D8" s="10" t="n"/>
      <c r="E8" s="13" t="n"/>
      <c r="F8" s="3" t="n">
        <v>-0.01</v>
      </c>
    </row>
    <row r="9">
      <c r="A9" s="2" t="inlineStr">
        <is>
          <t>2026-10-09</t>
        </is>
      </c>
      <c r="B9" s="2" t="inlineStr">
        <is>
          <t>FEE</t>
        </is>
      </c>
      <c r="C9" s="2" t="n"/>
      <c r="D9" s="10" t="n"/>
      <c r="E9" s="13" t="n"/>
      <c r="F9" s="3" t="n">
        <v>-0.01</v>
      </c>
    </row>
    <row r="10">
      <c r="A10" s="2" t="inlineStr">
        <is>
          <t>2026-10-09</t>
        </is>
      </c>
      <c r="B10" s="2" t="inlineStr">
        <is>
          <t>FEE</t>
        </is>
      </c>
      <c r="C10" s="2" t="n"/>
      <c r="D10" s="10" t="n"/>
      <c r="E10" s="13" t="n"/>
      <c r="F10" s="3" t="n">
        <v>-0.06</v>
      </c>
    </row>
    <row r="11">
      <c r="A11" s="2" t="inlineStr">
        <is>
          <t>2026-10-13</t>
        </is>
      </c>
      <c r="B11" s="2" t="inlineStr">
        <is>
          <t>FEE</t>
        </is>
      </c>
      <c r="C11" s="2" t="n"/>
      <c r="D11" s="10" t="n"/>
      <c r="E11" s="13" t="n"/>
      <c r="F11" s="3" t="n">
        <v>-0.04</v>
      </c>
    </row>
    <row r="12">
      <c r="A12" s="2" t="inlineStr">
        <is>
          <t>2026-10-13</t>
        </is>
      </c>
      <c r="B12" s="2" t="inlineStr">
        <is>
          <t>FEE</t>
        </is>
      </c>
      <c r="C12" s="2" t="n"/>
      <c r="D12" s="10" t="n"/>
      <c r="E12" s="13" t="n"/>
      <c r="F12" s="3" t="n">
        <v>-0.01</v>
      </c>
    </row>
    <row r="13">
      <c r="A13" s="2" t="inlineStr">
        <is>
          <t>2026-10-14</t>
        </is>
      </c>
      <c r="B13" s="2" t="inlineStr">
        <is>
          <t>FEE</t>
        </is>
      </c>
      <c r="C13" s="2" t="n"/>
      <c r="D13" s="10" t="n"/>
      <c r="E13" s="13" t="n"/>
      <c r="F13" s="3" t="n">
        <v>-0.01</v>
      </c>
    </row>
    <row r="14">
      <c r="A14" s="2" t="inlineStr">
        <is>
          <t>2026-10-14</t>
        </is>
      </c>
      <c r="B14" s="2" t="inlineStr">
        <is>
          <t>FEE</t>
        </is>
      </c>
      <c r="C14" s="2" t="n"/>
      <c r="D14" s="10" t="n"/>
      <c r="E14" s="13" t="n"/>
      <c r="F14" s="3" t="n">
        <v>-0.04</v>
      </c>
    </row>
    <row r="15">
      <c r="A15" s="2" t="inlineStr">
        <is>
          <t>2026-10-15</t>
        </is>
      </c>
      <c r="B15" s="2" t="inlineStr">
        <is>
          <t>FEE</t>
        </is>
      </c>
      <c r="C15" s="2" t="n"/>
      <c r="D15" s="10" t="n"/>
      <c r="E15" s="13" t="n"/>
      <c r="F15" s="3" t="n">
        <v>-0.88</v>
      </c>
    </row>
    <row r="16">
      <c r="A16" s="2" t="inlineStr">
        <is>
          <t>2026-10-15</t>
        </is>
      </c>
      <c r="B16" s="2" t="inlineStr">
        <is>
          <t>FEE</t>
        </is>
      </c>
      <c r="C16" s="2" t="n"/>
      <c r="D16" s="10" t="n"/>
      <c r="E16" s="13" t="n"/>
      <c r="F16" s="3" t="n">
        <v>-0.01</v>
      </c>
    </row>
    <row r="17">
      <c r="A17" s="2" t="inlineStr">
        <is>
          <t>2026-10-16</t>
        </is>
      </c>
      <c r="B17" s="2" t="inlineStr">
        <is>
          <t>FEE</t>
        </is>
      </c>
      <c r="C17" s="2" t="n"/>
      <c r="D17" s="10" t="n"/>
      <c r="E17" s="13" t="n"/>
      <c r="F17" s="3" t="n">
        <v>-0.01</v>
      </c>
    </row>
  </sheetData>
  <autoFilter ref="A1:F1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50" customWidth="1" min="1" max="1"/>
  </cols>
  <sheetData>
    <row r="1">
      <c r="A1" s="2" t="inlineStr">
        <is>
          <t>P&amp;L summary, Open positions, Realized trades: standard broker accounting. Cost basis is FIFO over every Alpaca fill (Alpaca's own method); realized P&amp;L comes only from shares actually closed; unrealized P&amp;L is open shares at Alpaca's marks, from the same snapshot as the account value. Account P&amp;L = realized + unrealized + dividends, fees &amp; interest.</t>
        </is>
      </c>
    </row>
    <row r="2">
      <c r="A2" s="2" t="inlineStr">
        <is>
          <t>Positions sheet: a holding-period view by lot, not realized P&amp;L. A lot ends at each weekly roll or change of shares even when the shares are still held, so its 'Closed' rows are not sales.</t>
        </is>
      </c>
    </row>
    <row r="3">
      <c r="A3" s="2" t="inlineStr">
        <is>
          <t>Fund position ledger (Protocol 6). Actual Alpaca paper-account trades only: weeks that were not executed, and model-only books, are left out. Rebuilt automatically after each weekly run and each execution/reconciliation; do not edit.</t>
        </is>
      </c>
    </row>
    <row r="4">
      <c r="A4" s="2" t="inlineStr">
        <is>
          <t>Positions: one row per lot: a name held for a week, split where a daily review changed the shares (exit, reduce or increase at that day's close). The book is re-decided every Wednesday and traded at the next session's close (market-on-close).</t>
        </is>
      </c>
    </row>
    <row r="5">
      <c r="A5" s="2" t="inlineStr">
        <is>
          <t>Entry price: the fill if the name traded on the execution day, otherwise that day's official close. Exit price: the next execution day's official close.</t>
        </is>
      </c>
    </row>
    <row r="6">
      <c r="A6" s="2" t="inlineStr">
        <is>
          <t>Status Open: the week has not ended; Return and P&amp;L use the Current price (latest close). Returns are price returns, dividends excluded, before costs.</t>
        </is>
      </c>
    </row>
    <row r="7">
      <c r="A7" s="2" t="inlineStr">
        <is>
          <t>P&amp;L ($): signed shares x (exit or current price - entry). Lot boundaries use the actual Alpaca fill of the order traded there (weekly or daily review), else the official close, so lot P&amp;Ls add up to the account's trading P&amp;L.</t>
        </is>
      </c>
    </row>
    <row r="8">
      <c r="A8" s="2" t="inlineStr">
        <is>
          <t>Cash activity: dividends received on longs and paid on shorts, fees and interest from Alpaca; together with P&amp;L they explain the Account sheet's value.</t>
        </is>
      </c>
    </row>
    <row r="9">
      <c r="A9" s="2" t="inlineStr">
        <is>
          <t>Account sheet: the paper account's daily value from Alpaca, from the first trade on. Invested: gross capital in positions at the day's close (long plus short, shares x entry price). Daily return: the day's change in account value over the previous close's invested amount. Return on invested: the account's P&amp;L since the first trade over that day's invested amount.</t>
        </is>
      </c>
    </row>
    <row r="10">
      <c r="A10" s="2" t="inlineStr">
        <is>
          <t>Confidence: the analyst's confidence (0-1); Red team: uphold or weaken. SPY rows are the beta hedge.</t>
        </is>
      </c>
    </row>
    <row r="11">
      <c r="A11" s="2" t="inlineStr">
        <is>
          <t>Source records: fund-data branch, fund_state/live/&lt;week&gt;/ (book.json, execution.json, analysts.json, redteam.json) and fund_state/live/execution/fills.csv.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2026-10-20T16:16:18Z</dcterms:created>
  <dcterms:modified xmlns:dcterms="http://purl.org/dc/terms/" xmlns:xsi="http://www.w3.org/2001/XMLSchema-instance" xsi:type="dcterms:W3CDTF">2026-10-20T16:16:24Z</dcterms:modified>
</cp:coreProperties>
</file>