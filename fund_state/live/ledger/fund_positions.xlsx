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trades'!$A$1:$H$34</definedName>
    <definedName name="_xlnm._FilterDatabase" localSheetId="3" hidden="1">'Positions'!$A$1:$Q$71</definedName>
    <definedName name="_xlnm._FilterDatabase" localSheetId="4" hidden="1">'Orders'!$A$1:$O$92</definedName>
    <definedName name="_xlnm._FilterDatabase" localSheetId="5" hidden="1">'Account'!$A$1:$F$14</definedName>
    <definedName name="_xlnm._FilterDatabase" localSheetId="6" hidden="1">'Cash activity'!$A$1:$F$17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2026-10-20 15:15 ET)</t>
        </is>
      </c>
      <c r="B2" s="3" t="n">
        <v>98069.8771</v>
      </c>
    </row>
    <row r="3">
      <c r="A3" s="2" t="inlineStr">
        <is>
          <t>Net deposits</t>
        </is>
      </c>
      <c r="B3" s="3" t="n">
        <v>100000</v>
      </c>
    </row>
    <row r="4">
      <c r="A4" s="2" t="inlineStr">
        <is>
          <t>Account P&amp;L</t>
        </is>
      </c>
      <c r="B4" s="3">
        <f>B2-B3</f>
        <v/>
      </c>
    </row>
    <row r="5">
      <c r="A5" s="2" t="inlineStr">
        <is>
          <t>Realized P&amp;L (closed shares, FIFO)</t>
        </is>
      </c>
      <c r="B5" s="3" t="n">
        <v>-15.25999999999794</v>
      </c>
    </row>
    <row r="6">
      <c r="A6" s="2" t="inlineStr">
        <is>
          <t>Unrealized P&amp;L (open shares at Alpaca marks)</t>
        </is>
      </c>
      <c r="B6" s="3" t="n">
        <v>-1912.4929</v>
      </c>
    </row>
    <row r="7">
      <c r="A7" s="2" t="inlineStr">
        <is>
          <t>Dividends, fees &amp; interest</t>
        </is>
      </c>
      <c r="B7" s="3" t="n">
        <v>-2.37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539.775</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50.555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241.32</v>
      </c>
      <c r="H4" s="6">
        <f>D4*G4</f>
        <v/>
      </c>
      <c r="I4" s="3">
        <f>D4*(G4-F4)</f>
        <v/>
      </c>
      <c r="J4" s="7">
        <f>IF(D4&gt;0,1,-1)*(G4/F4-1)</f>
        <v/>
      </c>
    </row>
    <row r="5">
      <c r="A5" s="2" t="inlineStr">
        <is>
          <t>DAL</t>
        </is>
      </c>
      <c r="B5" s="2" t="inlineStr">
        <is>
          <t>DAL</t>
        </is>
      </c>
      <c r="C5" s="2" t="inlineStr">
        <is>
          <t>Short</t>
        </is>
      </c>
      <c r="D5" s="4" t="n">
        <v>-95</v>
      </c>
      <c r="E5" s="2" t="inlineStr">
        <is>
          <t>2026-10-15</t>
        </is>
      </c>
      <c r="F5" s="5" t="n">
        <v>76.79842105263157</v>
      </c>
      <c r="G5" s="5" t="n">
        <v>76.755</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56.425</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335.175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23.775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241.24</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531.61</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68.575</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37.94</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216.571</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75.965</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131.43</v>
      </c>
      <c r="H15" s="6">
        <f>D15*G15</f>
        <v/>
      </c>
      <c r="I15" s="3">
        <f>D15*(G15-F15)</f>
        <v/>
      </c>
      <c r="J15" s="7">
        <f>IF(D15&gt;0,1,-1)*(G15/F15-1)</f>
        <v/>
      </c>
    </row>
    <row r="16">
      <c r="A16" s="2" t="inlineStr">
        <is>
          <t>SMCI</t>
        </is>
      </c>
      <c r="B16" s="2" t="inlineStr">
        <is>
          <t>SMCI</t>
        </is>
      </c>
      <c r="C16" s="2" t="inlineStr">
        <is>
          <t>Short</t>
        </is>
      </c>
      <c r="D16" s="4" t="n">
        <v>-61</v>
      </c>
      <c r="E16" s="2" t="inlineStr">
        <is>
          <t>2026-10-15</t>
        </is>
      </c>
      <c r="F16" s="5" t="n">
        <v>35.09459016393443</v>
      </c>
      <c r="G16" s="5" t="n">
        <v>32.6085</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166.69</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375.3701</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314.83</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sheetData>
  <autoFilter ref="A1:H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768.645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892.51</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904.585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904.585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68.55500000000001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538.59</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99.37</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132.435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768.645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768.645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768.645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768.645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539.89</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539.89</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335.21</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335.21</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335.21</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190.715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259.5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339.43</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56.425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826.16</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1285.37</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241.12</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216.535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216.535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538.59</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99.37</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245.615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689.22</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37.945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134.35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134.35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1373.84</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1373.84</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678.205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365.08</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335.19</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190.67</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538.59</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259.5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339.45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826.16</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1285.37</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99.37</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245.615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689.09</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134.35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1373.84</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768.645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678.205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365.17</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539.89</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56.425</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241.24</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37.945</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216.56</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-68</v>
      </c>
      <c r="J59" s="5" t="n">
        <v>51.19367658823529</v>
      </c>
      <c r="K59" s="5" t="n"/>
      <c r="L59" s="5" t="n">
        <v>50.555</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241.28</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-95</v>
      </c>
      <c r="J61" s="5" t="n">
        <v>76.79842105263158</v>
      </c>
      <c r="K61" s="5" t="n"/>
      <c r="L61" s="5" t="n">
        <v>76.75</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335.19</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23.775</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7</v>
      </c>
      <c r="J64" s="5" t="n">
        <v>536.6514285714286</v>
      </c>
      <c r="K64" s="5" t="n"/>
      <c r="L64" s="5" t="n">
        <v>531.65</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-15</v>
      </c>
      <c r="J65" s="5" t="n">
        <v>72.61</v>
      </c>
      <c r="K65" s="5" t="n"/>
      <c r="L65" s="5" t="n">
        <v>68.55500000000001</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75.93000000000001</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131.395</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-61</v>
      </c>
      <c r="J68" s="5" t="n">
        <v>35.094677</v>
      </c>
      <c r="K68" s="5" t="n"/>
      <c r="L68" s="5" t="n">
        <v>32.59</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166.69</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375.38</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315.38</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sheetData>
  <autoFilter ref="A1:O9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58556.64527570313</v>
      </c>
      <c r="D12" s="7">
        <f>IF(C11&gt;0,(B12-B11)/C11,"")</f>
        <v/>
      </c>
      <c r="E12" s="3">
        <f>B12-$B$2</f>
        <v/>
      </c>
      <c r="F12" s="7">
        <f>IF(C12&gt;0,E12/C12,"")</f>
        <v/>
      </c>
    </row>
    <row r="13">
      <c r="A13" s="2" t="inlineStr">
        <is>
          <t>2026-10-16</t>
        </is>
      </c>
      <c r="B13" s="12" t="n">
        <v>98144.96000000001</v>
      </c>
      <c r="C13" s="12" t="n">
        <v>58556.64527570313</v>
      </c>
      <c r="D13" s="7">
        <f>IF(C12&gt;0,(B13-B12)/C12,"")</f>
        <v/>
      </c>
      <c r="E13" s="3">
        <f>B13-$B$2</f>
        <v/>
      </c>
      <c r="F13" s="7">
        <f>IF(C13&gt;0,E13/C13,"")</f>
        <v/>
      </c>
    </row>
    <row r="14">
      <c r="A14" s="2" t="inlineStr">
        <is>
          <t>2026-10-17</t>
        </is>
      </c>
      <c r="B14" s="12" t="n">
        <v>97920.66</v>
      </c>
      <c r="C14" s="12" t="n">
        <v>58556.64527570313</v>
      </c>
      <c r="D14" s="7">
        <f>IF(C13&gt;0,(B14-B13)/C13,"")</f>
        <v/>
      </c>
      <c r="E14" s="3">
        <f>B14-$B$2</f>
        <v/>
      </c>
      <c r="F14" s="7">
        <f>IF(C14&gt;0,E14/C14,"")</f>
        <v/>
      </c>
    </row>
  </sheetData>
  <autoFilter ref="A1:F1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sheetData>
  <autoFilter ref="A1:F1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2026-10-20T19:15:51Z</dcterms:created>
  <dcterms:modified xmlns:dcterms="http://purl.org/dc/terms/" xmlns:xsi="http://www.w3.org/2001/XMLSchema-instance" xsi:type="dcterms:W3CDTF">2026-10-20T19:15:55Z</dcterms:modified>
</cp:coreProperties>
</file>